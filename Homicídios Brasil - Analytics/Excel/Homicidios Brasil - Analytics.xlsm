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alvos\"/>
    </mc:Choice>
  </mc:AlternateContent>
  <xr:revisionPtr revIDLastSave="0" documentId="13_ncr:1_{4A6140EB-1706-427B-8189-421B4B527F5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Homicídios - Report" sheetId="1" r:id="rId1"/>
    <sheet name="Tabela Dinâmica" sheetId="2" r:id="rId2"/>
    <sheet name="Dashboard" sheetId="3" r:id="rId3"/>
  </sheets>
  <definedNames>
    <definedName name="SegmentaçãodeDados_Ano">#N/A</definedName>
  </definedNames>
  <calcPr calcId="191029"/>
  <pivotCaches>
    <pivotCache cacheId="9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D3" i="2" l="1"/>
  <c r="F3" i="2"/>
</calcChain>
</file>

<file path=xl/sharedStrings.xml><?xml version="1.0" encoding="utf-8"?>
<sst xmlns="http://schemas.openxmlformats.org/spreadsheetml/2006/main" count="38" uniqueCount="6">
  <si>
    <t>Ano</t>
  </si>
  <si>
    <t>País</t>
  </si>
  <si>
    <t>Brasil</t>
  </si>
  <si>
    <t>Qtd. Homicídios</t>
  </si>
  <si>
    <t>Média de Homicídios</t>
  </si>
  <si>
    <t>Total de Homicídios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</si>
</sst>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CBF53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0" xfId="0" applyBorder="1" applyAlignment="1">
      <alignment horizontal="right" vertical="center"/>
    </xf>
    <xf numFmtId="0" fontId="0" fillId="0" borderId="11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7" xfId="0" applyBorder="1" applyAlignment="1">
      <alignment horizontal="right" vertical="center"/>
    </xf>
    <xf numFmtId="164" fontId="0" fillId="0" borderId="12" xfId="1" applyNumberFormat="1" applyFont="1" applyBorder="1" applyAlignment="1">
      <alignment horizontal="right" vertical="center"/>
    </xf>
    <xf numFmtId="164" fontId="0" fillId="0" borderId="18" xfId="1" applyNumberFormat="1" applyFont="1" applyBorder="1" applyAlignment="1">
      <alignment horizontal="right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0" fillId="0" borderId="10" xfId="0" applyBorder="1" applyAlignment="1">
      <alignment horizontal="left"/>
    </xf>
    <xf numFmtId="164" fontId="0" fillId="0" borderId="10" xfId="0" applyNumberFormat="1" applyBorder="1"/>
    <xf numFmtId="0" fontId="16" fillId="33" borderId="10" xfId="0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5" borderId="0" xfId="0" applyFill="1"/>
    <xf numFmtId="164" fontId="0" fillId="34" borderId="10" xfId="1" applyNumberFormat="1" applyFont="1" applyFill="1" applyBorder="1" applyAlignment="1">
      <alignment horizontal="right" vertical="center"/>
    </xf>
    <xf numFmtId="164" fontId="0" fillId="0" borderId="10" xfId="1" applyNumberFormat="1" applyFont="1" applyBorder="1"/>
  </cellXfs>
  <cellStyles count="43">
    <cellStyle name="20% - Ênfase1" xfId="20" builtinId="30" customBuiltin="1"/>
    <cellStyle name="20% - Ênfase2" xfId="24" builtinId="34" customBuiltin="1"/>
    <cellStyle name="20% - Ênfase3" xfId="28" builtinId="38" customBuiltin="1"/>
    <cellStyle name="20% - Ênfase4" xfId="32" builtinId="42" customBuiltin="1"/>
    <cellStyle name="20% - Ênfase5" xfId="36" builtinId="46" customBuiltin="1"/>
    <cellStyle name="20% - Ênfase6" xfId="40" builtinId="50" customBuiltin="1"/>
    <cellStyle name="40% - Ênfase1" xfId="21" builtinId="31" customBuiltin="1"/>
    <cellStyle name="40% - Ênfase2" xfId="25" builtinId="35" customBuiltin="1"/>
    <cellStyle name="40% - Ênfase3" xfId="29" builtinId="39" customBuiltin="1"/>
    <cellStyle name="40% - Ênfase4" xfId="33" builtinId="43" customBuiltin="1"/>
    <cellStyle name="40% - Ênfase5" xfId="37" builtinId="47" customBuiltin="1"/>
    <cellStyle name="40% - Ênfase6" xfId="41" builtinId="51" customBuiltin="1"/>
    <cellStyle name="60% - Ênfase1" xfId="22" builtinId="32" customBuiltin="1"/>
    <cellStyle name="60% - Ênfase2" xfId="26" builtinId="36" customBuiltin="1"/>
    <cellStyle name="60% - Ênfase3" xfId="30" builtinId="40" customBuiltin="1"/>
    <cellStyle name="60% - Ênfase4" xfId="34" builtinId="44" customBuiltin="1"/>
    <cellStyle name="60% - Ênfase5" xfId="38" builtinId="48" customBuiltin="1"/>
    <cellStyle name="60% - Ênfase6" xfId="42" builtinId="52" customBuiltin="1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0" builtinId="20" customBuiltin="1"/>
    <cellStyle name="Neutro" xfId="9" builtinId="28" customBuiltin="1"/>
    <cellStyle name="Normal" xfId="0" builtinId="0"/>
    <cellStyle name="Nota" xfId="16" builtinId="10" customBuiltin="1"/>
    <cellStyle name="Ruim" xfId="8" builtinId="27" customBuiltin="1"/>
    <cellStyle name="Saída" xfId="11" builtinId="21" customBuiltin="1"/>
    <cellStyle name="Texto de Aviso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18" builtinId="25" customBuiltin="1"/>
    <cellStyle name="Vírgula" xfId="1" builtinId="3"/>
  </cellStyles>
  <dxfs count="111">
    <dxf>
      <alignment vertical="center"/>
    </dxf>
    <dxf>
      <alignment vertical="center"/>
    </dxf>
    <dxf>
      <alignment horizontal="center"/>
    </dxf>
    <dxf>
      <alignment horizontal="center"/>
    </dxf>
    <dxf>
      <numFmt numFmtId="164" formatCode="_-* #,##0_-;\-* #,##0_-;_-* &quot;-&quot;??_-;_-@_-"/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ont>
        <sz val="14"/>
      </font>
    </dxf>
    <dxf>
      <font>
        <sz val="14"/>
      </font>
    </dxf>
    <dxf>
      <font>
        <b val="0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6"/>
      </font>
    </dxf>
    <dxf>
      <font>
        <sz val="16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64" formatCode="_-* #,##0_-;\-* #,##0_-;_-* &quot;-&quot;??_-;_-@_-"/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ont>
        <sz val="14"/>
      </font>
    </dxf>
    <dxf>
      <font>
        <sz val="14"/>
      </font>
    </dxf>
    <dxf>
      <font>
        <b val="0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6"/>
      </font>
    </dxf>
    <dxf>
      <font>
        <sz val="16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64" formatCode="_-* #,##0_-;\-* #,##0_-;_-* &quot;-&quot;??_-;_-@_-"/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ont>
        <sz val="14"/>
      </font>
    </dxf>
    <dxf>
      <font>
        <sz val="14"/>
      </font>
    </dxf>
    <dxf>
      <font>
        <b val="0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6"/>
      </font>
    </dxf>
    <dxf>
      <font>
        <sz val="16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64" formatCode="_-* #,##0_-;\-* #,##0_-;_-* &quot;-&quot;??_-;_-@_-"/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ont>
        <sz val="14"/>
      </font>
    </dxf>
    <dxf>
      <font>
        <sz val="14"/>
      </font>
    </dxf>
    <dxf>
      <font>
        <b val="0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6"/>
      </font>
    </dxf>
    <dxf>
      <font>
        <sz val="16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64" formatCode="_-* #,##0_-;\-* #,##0_-;_-* &quot;-&quot;??_-;_-@_-"/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ont>
        <sz val="14"/>
      </font>
    </dxf>
    <dxf>
      <font>
        <sz val="14"/>
      </font>
    </dxf>
    <dxf>
      <font>
        <b val="0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</dxf>
    <dxf>
      <font>
        <sz val="14"/>
      </font>
    </dxf>
    <dxf>
      <font>
        <sz val="14"/>
      </font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numFmt numFmtId="164" formatCode="_-* #,##0_-;\-* #,##0_-;_-* &quot;-&quot;??_-;_-@_-"/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z val="16"/>
        <color theme="1"/>
      </font>
      <border>
        <bottom style="thin">
          <color theme="4"/>
        </bottom>
        <vertical/>
        <horizontal/>
      </border>
    </dxf>
    <dxf>
      <font>
        <b val="0"/>
        <i val="0"/>
        <sz val="16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1" defaultTableStyle="TableStyleMedium2" defaultPivotStyle="PivotStyleLight16">
    <tableStyle name="Modelo Personalizado" pivot="0" table="0" count="10" xr9:uid="{6D206F2D-F8C0-4142-A3E6-D5CBE6744F15}">
      <tableStyleElement type="wholeTable" dxfId="110"/>
      <tableStyleElement type="headerRow" dxfId="109"/>
    </tableStyle>
  </tableStyles>
  <colors>
    <mruColors>
      <color rgb="FF0E4E00"/>
      <color rgb="FF524A66"/>
      <color rgb="FFA3EE5B"/>
      <color rgb="FFDCBF53"/>
    </mruColors>
  </colors>
  <extLst>
    <ext xmlns:x14="http://schemas.microsoft.com/office/spreadsheetml/2009/9/main" uri="{46F421CA-312F-682f-3DD2-61675219B42D}">
      <x14:dxfs count="8">
        <dxf>
          <font>
            <sz val="16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6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6"/>
            <color rgb="FF000000"/>
          </font>
          <fill>
            <patternFill patternType="solid">
              <fgColor auto="1"/>
              <bgColor rgb="FFFFFF0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6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 val="0"/>
            <i val="0"/>
            <sz val="16"/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 val="0"/>
            <i val="0"/>
            <sz val="16"/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6"/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6"/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odelo Personalizado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[Homicidios Brasil - Analytics.xlsm]Tabela Dinâmica!homicidios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400" b="1" baseline="0">
                <a:solidFill>
                  <a:sysClr val="windowText" lastClr="000000"/>
                </a:solidFill>
              </a:rPr>
              <a:t>Homicídios no Brasil (quantidade anual)</a:t>
            </a:r>
            <a:endParaRPr lang="en-US" sz="24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43132928727748576"/>
          <c:y val="7.648285088256053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63500" cap="rnd" cmpd="sng">
            <a:solidFill>
              <a:srgbClr val="FF0000"/>
            </a:solidFill>
            <a:round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c:spPr>
        <c:marker>
          <c:symbol val="circle"/>
          <c:size val="10"/>
          <c:spPr>
            <a:solidFill>
              <a:srgbClr val="FFFF00"/>
            </a:solidFill>
            <a:ln w="9525"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63500" cap="rnd" cmpd="sng">
            <a:solidFill>
              <a:srgbClr val="FF0000"/>
            </a:solidFill>
            <a:round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c:spPr>
        <c:dLbl>
          <c:idx val="0"/>
          <c:layout>
            <c:manualLayout>
              <c:x val="-6.9655268785846214E-3"/>
              <c:y val="-3.498213709629240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4"/>
        <c:spPr>
          <a:ln w="63500" cap="rnd" cmpd="sng">
            <a:solidFill>
              <a:srgbClr val="FF0000"/>
            </a:solidFill>
            <a:round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c:spPr>
        <c:dLbl>
          <c:idx val="0"/>
          <c:layout>
            <c:manualLayout>
              <c:x val="-4.9868766404200611E-3"/>
              <c:y val="-3.1398163837115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9341523281811997E-2"/>
          <c:y val="0.21415949588579908"/>
          <c:w val="0.95751026781374549"/>
          <c:h val="0.69474223949854375"/>
        </c:manualLayout>
      </c:layout>
      <c:lineChart>
        <c:grouping val="standard"/>
        <c:varyColors val="0"/>
        <c:ser>
          <c:idx val="0"/>
          <c:order val="0"/>
          <c:tx>
            <c:strRef>
              <c:f>'Tabela Dinâmica'!$B$1</c:f>
              <c:strCache>
                <c:ptCount val="1"/>
                <c:pt idx="0">
                  <c:v>Total</c:v>
                </c:pt>
              </c:strCache>
            </c:strRef>
          </c:tx>
          <c:spPr>
            <a:ln w="63500" cap="rnd" cmpd="sng">
              <a:solidFill>
                <a:srgbClr val="FF0000"/>
              </a:solidFill>
              <a:round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10"/>
            <c:spPr>
              <a:solidFill>
                <a:srgbClr val="FFFF00"/>
              </a:solidFill>
              <a:ln w="9525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</c:marker>
          <c:dPt>
            <c:idx val="29"/>
            <c:bubble3D val="0"/>
            <c:spPr>
              <a:ln w="63500" cap="rnd" cmpd="sng">
                <a:solidFill>
                  <a:srgbClr val="FF0000"/>
                </a:solidFill>
                <a:round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F8F-4907-B9BF-8E25EC2405F6}"/>
              </c:ext>
            </c:extLst>
          </c:dPt>
          <c:dPt>
            <c:idx val="30"/>
            <c:bubble3D val="0"/>
            <c:spPr>
              <a:ln w="63500" cap="rnd" cmpd="sng">
                <a:solidFill>
                  <a:srgbClr val="FF0000"/>
                </a:solidFill>
                <a:round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F8F-4907-B9BF-8E25EC2405F6}"/>
              </c:ext>
            </c:extLst>
          </c:dPt>
          <c:dLbls>
            <c:dLbl>
              <c:idx val="29"/>
              <c:layout>
                <c:manualLayout>
                  <c:x val="-4.9868766404200611E-3"/>
                  <c:y val="-3.13981638371153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8F-4907-B9BF-8E25EC2405F6}"/>
                </c:ext>
              </c:extLst>
            </c:dLbl>
            <c:dLbl>
              <c:idx val="30"/>
              <c:layout>
                <c:manualLayout>
                  <c:x val="-6.9655268785846214E-3"/>
                  <c:y val="-3.49821370962924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0F8F-4907-B9BF-8E25EC2405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'Tabela Dinâmica'!$A$2:$A$32</c:f>
              <c:strCache>
                <c:ptCount val="31"/>
                <c:pt idx="0">
                  <c:v>1989</c:v>
                </c:pt>
                <c:pt idx="1">
                  <c:v>1990</c:v>
                </c:pt>
                <c:pt idx="2">
                  <c:v>1991</c:v>
                </c:pt>
                <c:pt idx="3">
                  <c:v>1992</c:v>
                </c:pt>
                <c:pt idx="4">
                  <c:v>1993</c:v>
                </c:pt>
                <c:pt idx="5">
                  <c:v>1994</c:v>
                </c:pt>
                <c:pt idx="6">
                  <c:v>1995</c:v>
                </c:pt>
                <c:pt idx="7">
                  <c:v>1996</c:v>
                </c:pt>
                <c:pt idx="8">
                  <c:v>1997</c:v>
                </c:pt>
                <c:pt idx="9">
                  <c:v>1998</c:v>
                </c:pt>
                <c:pt idx="10">
                  <c:v>1999</c:v>
                </c:pt>
                <c:pt idx="11">
                  <c:v>2000</c:v>
                </c:pt>
                <c:pt idx="12">
                  <c:v>2001</c:v>
                </c:pt>
                <c:pt idx="13">
                  <c:v>2002</c:v>
                </c:pt>
                <c:pt idx="14">
                  <c:v>2003</c:v>
                </c:pt>
                <c:pt idx="15">
                  <c:v>2004</c:v>
                </c:pt>
                <c:pt idx="16">
                  <c:v>2005</c:v>
                </c:pt>
                <c:pt idx="17">
                  <c:v>2006</c:v>
                </c:pt>
                <c:pt idx="18">
                  <c:v>2007</c:v>
                </c:pt>
                <c:pt idx="19">
                  <c:v>2008</c:v>
                </c:pt>
                <c:pt idx="20">
                  <c:v>2009</c:v>
                </c:pt>
                <c:pt idx="21">
                  <c:v>2010</c:v>
                </c:pt>
                <c:pt idx="22">
                  <c:v>2011</c:v>
                </c:pt>
                <c:pt idx="23">
                  <c:v>2012</c:v>
                </c:pt>
                <c:pt idx="24">
                  <c:v>2013</c:v>
                </c:pt>
                <c:pt idx="25">
                  <c:v>2014</c:v>
                </c:pt>
                <c:pt idx="26">
                  <c:v>2015</c:v>
                </c:pt>
                <c:pt idx="27">
                  <c:v>2016</c:v>
                </c:pt>
                <c:pt idx="28">
                  <c:v>2017</c:v>
                </c:pt>
                <c:pt idx="29">
                  <c:v>2018</c:v>
                </c:pt>
                <c:pt idx="30">
                  <c:v>2019</c:v>
                </c:pt>
              </c:strCache>
            </c:strRef>
          </c:cat>
          <c:val>
            <c:numRef>
              <c:f>'Tabela Dinâmica'!$B$2:$B$32</c:f>
              <c:numCache>
                <c:formatCode>_-* #,##0_-;\-* #,##0_-;_-* "-"??_-;_-@_-</c:formatCode>
                <c:ptCount val="31"/>
                <c:pt idx="0">
                  <c:v>28767</c:v>
                </c:pt>
                <c:pt idx="1">
                  <c:v>32015</c:v>
                </c:pt>
                <c:pt idx="2">
                  <c:v>30752</c:v>
                </c:pt>
                <c:pt idx="3">
                  <c:v>28555</c:v>
                </c:pt>
                <c:pt idx="4">
                  <c:v>30618</c:v>
                </c:pt>
                <c:pt idx="5">
                  <c:v>32631</c:v>
                </c:pt>
                <c:pt idx="6">
                  <c:v>37152</c:v>
                </c:pt>
                <c:pt idx="7">
                  <c:v>38929</c:v>
                </c:pt>
                <c:pt idx="8">
                  <c:v>40531</c:v>
                </c:pt>
                <c:pt idx="9">
                  <c:v>41974</c:v>
                </c:pt>
                <c:pt idx="10">
                  <c:v>42947</c:v>
                </c:pt>
                <c:pt idx="11">
                  <c:v>45433</c:v>
                </c:pt>
                <c:pt idx="12">
                  <c:v>48032</c:v>
                </c:pt>
                <c:pt idx="13">
                  <c:v>49816</c:v>
                </c:pt>
                <c:pt idx="14">
                  <c:v>51534</c:v>
                </c:pt>
                <c:pt idx="15">
                  <c:v>48909</c:v>
                </c:pt>
                <c:pt idx="16">
                  <c:v>48136</c:v>
                </c:pt>
                <c:pt idx="17">
                  <c:v>49704</c:v>
                </c:pt>
                <c:pt idx="18">
                  <c:v>48219</c:v>
                </c:pt>
                <c:pt idx="19">
                  <c:v>50659</c:v>
                </c:pt>
                <c:pt idx="20">
                  <c:v>52043</c:v>
                </c:pt>
                <c:pt idx="21">
                  <c:v>53016</c:v>
                </c:pt>
                <c:pt idx="22">
                  <c:v>52807</c:v>
                </c:pt>
                <c:pt idx="23">
                  <c:v>57045</c:v>
                </c:pt>
                <c:pt idx="24">
                  <c:v>57396</c:v>
                </c:pt>
                <c:pt idx="25">
                  <c:v>60474</c:v>
                </c:pt>
                <c:pt idx="26">
                  <c:v>59080</c:v>
                </c:pt>
                <c:pt idx="27">
                  <c:v>62517</c:v>
                </c:pt>
                <c:pt idx="28">
                  <c:v>65602</c:v>
                </c:pt>
                <c:pt idx="29">
                  <c:v>57956</c:v>
                </c:pt>
                <c:pt idx="30">
                  <c:v>45503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F8F-4907-B9BF-8E25EC240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0717311"/>
        <c:axId val="837658207"/>
      </c:lineChart>
      <c:catAx>
        <c:axId val="8407173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37658207"/>
        <c:crosses val="autoZero"/>
        <c:auto val="1"/>
        <c:lblAlgn val="ctr"/>
        <c:lblOffset val="100"/>
        <c:noMultiLvlLbl val="0"/>
      </c:catAx>
      <c:valAx>
        <c:axId val="837658207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840717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rnd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228601</xdr:colOff>
      <xdr:row>8</xdr:row>
      <xdr:rowOff>40003</xdr:rowOff>
    </xdr:from>
    <xdr:to>
      <xdr:col>24</xdr:col>
      <xdr:colOff>352425</xdr:colOff>
      <xdr:row>20</xdr:row>
      <xdr:rowOff>28574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no">
              <a:extLst>
                <a:ext uri="{FF2B5EF4-FFF2-40B4-BE49-F238E27FC236}">
                  <a16:creationId xmlns:a16="http://schemas.microsoft.com/office/drawing/2014/main" id="{0A60A4AD-F7A9-4912-8140-A47B24903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43501" y="1487803"/>
              <a:ext cx="9877424" cy="21602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638175</xdr:colOff>
      <xdr:row>22</xdr:row>
      <xdr:rowOff>104776</xdr:rowOff>
    </xdr:from>
    <xdr:to>
      <xdr:col>28</xdr:col>
      <xdr:colOff>152400</xdr:colOff>
      <xdr:row>48</xdr:row>
      <xdr:rowOff>171450</xdr:rowOff>
    </xdr:to>
    <xdr:graphicFrame macro="">
      <xdr:nvGraphicFramePr>
        <xdr:cNvPr id="4" name="grafico_qtdhomicidios">
          <a:extLst>
            <a:ext uri="{FF2B5EF4-FFF2-40B4-BE49-F238E27FC236}">
              <a16:creationId xmlns:a16="http://schemas.microsoft.com/office/drawing/2014/main" id="{01952C40-50BF-4A23-B2E5-16E23A4620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9524</xdr:colOff>
      <xdr:row>0</xdr:row>
      <xdr:rowOff>0</xdr:rowOff>
    </xdr:from>
    <xdr:to>
      <xdr:col>22</xdr:col>
      <xdr:colOff>304799</xdr:colOff>
      <xdr:row>2</xdr:row>
      <xdr:rowOff>104775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1F48112-6B16-49B5-8F8E-E39996F5EDA0}"/>
            </a:ext>
          </a:extLst>
        </xdr:cNvPr>
        <xdr:cNvSpPr/>
      </xdr:nvSpPr>
      <xdr:spPr>
        <a:xfrm>
          <a:off x="6753224" y="0"/>
          <a:ext cx="7000875" cy="466725"/>
        </a:xfrm>
        <a:prstGeom prst="roundRect">
          <a:avLst/>
        </a:prstGeom>
        <a:solidFill>
          <a:srgbClr val="0E4E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baseline="0"/>
            <a:t>Homicídios no Brasil - Uma a</a:t>
          </a:r>
          <a:r>
            <a:rPr lang="pt-BR" sz="1800" b="1"/>
            <a:t>nálise (1989-2019)</a:t>
          </a:r>
        </a:p>
      </xdr:txBody>
    </xdr:sp>
    <xdr:clientData/>
  </xdr:twoCellAnchor>
  <xdr:twoCellAnchor>
    <xdr:from>
      <xdr:col>17</xdr:col>
      <xdr:colOff>333375</xdr:colOff>
      <xdr:row>3</xdr:row>
      <xdr:rowOff>47626</xdr:rowOff>
    </xdr:from>
    <xdr:to>
      <xdr:col>22</xdr:col>
      <xdr:colOff>323851</xdr:colOff>
      <xdr:row>6</xdr:row>
      <xdr:rowOff>59656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899924CD-78C5-05B1-A3C5-F3A97A5F7547}"/>
            </a:ext>
          </a:extLst>
        </xdr:cNvPr>
        <xdr:cNvGrpSpPr/>
      </xdr:nvGrpSpPr>
      <xdr:grpSpPr>
        <a:xfrm>
          <a:off x="10734675" y="590551"/>
          <a:ext cx="3038476" cy="554955"/>
          <a:chOff x="8601076" y="571500"/>
          <a:chExt cx="3105150" cy="644145"/>
        </a:xfrm>
      </xdr:grpSpPr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93A9E461-1864-D119-71E4-D18D654C8B15}"/>
              </a:ext>
            </a:extLst>
          </xdr:cNvPr>
          <xdr:cNvGrpSpPr/>
        </xdr:nvGrpSpPr>
        <xdr:grpSpPr>
          <a:xfrm>
            <a:off x="8601076" y="571500"/>
            <a:ext cx="3105150" cy="644145"/>
            <a:chOff x="8591550" y="219075"/>
            <a:chExt cx="2390775" cy="753154"/>
          </a:xfr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7" name="Retângulo: Cantos Arredondados 6">
              <a:extLst>
                <a:ext uri="{FF2B5EF4-FFF2-40B4-BE49-F238E27FC236}">
                  <a16:creationId xmlns:a16="http://schemas.microsoft.com/office/drawing/2014/main" id="{D7FBAAA7-AA22-F2D4-6642-2ECA5C463192}"/>
                </a:ext>
              </a:extLst>
            </xdr:cNvPr>
            <xdr:cNvSpPr/>
          </xdr:nvSpPr>
          <xdr:spPr>
            <a:xfrm>
              <a:off x="8591550" y="219075"/>
              <a:ext cx="2390775" cy="723900"/>
            </a:xfrm>
            <a:prstGeom prst="roundRect">
              <a:avLst/>
            </a:prstGeom>
            <a:solidFill>
              <a:srgbClr val="A3EE5B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'Tabela Dinâmica'!F3">
          <xdr:nvSpPr>
            <xdr:cNvPr id="5" name="CaixaDeTexto 4">
              <a:extLst>
                <a:ext uri="{FF2B5EF4-FFF2-40B4-BE49-F238E27FC236}">
                  <a16:creationId xmlns:a16="http://schemas.microsoft.com/office/drawing/2014/main" id="{1048F085-D90E-85D0-2D7B-87B7AE40F81C}"/>
                </a:ext>
              </a:extLst>
            </xdr:cNvPr>
            <xdr:cNvSpPr txBox="1"/>
          </xdr:nvSpPr>
          <xdr:spPr>
            <a:xfrm>
              <a:off x="9161018" y="524555"/>
              <a:ext cx="1219200" cy="4476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F18FAF1C-0EAF-49C3-A771-224A3EA123F3}" type="TxLink">
                <a:rPr lang="en-US" sz="1600" b="1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 46.734 </a:t>
              </a:fld>
              <a:endParaRPr lang="pt-BR" sz="1600" b="1"/>
            </a:p>
          </xdr:txBody>
        </xdr:sp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5ECD7B9C-E330-132F-16CF-FE65352C9BAA}"/>
                </a:ext>
              </a:extLst>
            </xdr:cNvPr>
            <xdr:cNvSpPr txBox="1"/>
          </xdr:nvSpPr>
          <xdr:spPr>
            <a:xfrm>
              <a:off x="8776586" y="238125"/>
              <a:ext cx="2028825" cy="3333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800"/>
                <a:t>Média de Homicídios</a:t>
              </a:r>
            </a:p>
          </xdr:txBody>
        </xdr:sp>
      </xdr:grp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886E7705-4AC2-2343-0282-2D3DA2EDD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172825" y="666750"/>
            <a:ext cx="476250" cy="47625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</xdr:row>
      <xdr:rowOff>142875</xdr:rowOff>
    </xdr:from>
    <xdr:to>
      <xdr:col>4</xdr:col>
      <xdr:colOff>514350</xdr:colOff>
      <xdr:row>5</xdr:row>
      <xdr:rowOff>0</xdr:rowOff>
    </xdr:to>
    <xdr:sp macro="[0]!telacheia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58F2D9BB-504C-8508-1E47-A61C9839DC8E}"/>
            </a:ext>
          </a:extLst>
        </xdr:cNvPr>
        <xdr:cNvSpPr/>
      </xdr:nvSpPr>
      <xdr:spPr>
        <a:xfrm>
          <a:off x="1381125" y="323850"/>
          <a:ext cx="1609725" cy="581025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Tela cheia</a:t>
          </a:r>
        </a:p>
      </xdr:txBody>
    </xdr:sp>
    <xdr:clientData/>
  </xdr:twoCellAnchor>
  <xdr:twoCellAnchor>
    <xdr:from>
      <xdr:col>5</xdr:col>
      <xdr:colOff>238125</xdr:colOff>
      <xdr:row>1</xdr:row>
      <xdr:rowOff>142875</xdr:rowOff>
    </xdr:from>
    <xdr:to>
      <xdr:col>8</xdr:col>
      <xdr:colOff>19050</xdr:colOff>
      <xdr:row>5</xdr:row>
      <xdr:rowOff>0</xdr:rowOff>
    </xdr:to>
    <xdr:sp macro="[0]!telapadra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7785A08-64F1-4C5E-8747-C64D03752D0A}"/>
            </a:ext>
          </a:extLst>
        </xdr:cNvPr>
        <xdr:cNvSpPr/>
      </xdr:nvSpPr>
      <xdr:spPr>
        <a:xfrm>
          <a:off x="3324225" y="323850"/>
          <a:ext cx="1609725" cy="581025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Tela padrão</a:t>
          </a:r>
        </a:p>
      </xdr:txBody>
    </xdr:sp>
    <xdr:clientData/>
  </xdr:twoCellAnchor>
  <xdr:twoCellAnchor>
    <xdr:from>
      <xdr:col>12</xdr:col>
      <xdr:colOff>28575</xdr:colOff>
      <xdr:row>3</xdr:row>
      <xdr:rowOff>47626</xdr:rowOff>
    </xdr:from>
    <xdr:to>
      <xdr:col>17</xdr:col>
      <xdr:colOff>19051</xdr:colOff>
      <xdr:row>6</xdr:row>
      <xdr:rowOff>59656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5D46CB19-7ECB-5B50-6D75-417AAF5D539F}"/>
            </a:ext>
          </a:extLst>
        </xdr:cNvPr>
        <xdr:cNvGrpSpPr/>
      </xdr:nvGrpSpPr>
      <xdr:grpSpPr>
        <a:xfrm>
          <a:off x="7381875" y="590551"/>
          <a:ext cx="3038476" cy="554955"/>
          <a:chOff x="7381875" y="590551"/>
          <a:chExt cx="3038476" cy="554955"/>
        </a:xfrm>
      </xdr:grpSpPr>
      <xdr:grpSp>
        <xdr:nvGrpSpPr>
          <xdr:cNvPr id="12" name="Agrupar 11">
            <a:extLst>
              <a:ext uri="{FF2B5EF4-FFF2-40B4-BE49-F238E27FC236}">
                <a16:creationId xmlns:a16="http://schemas.microsoft.com/office/drawing/2014/main" id="{DA777BA8-8D36-C3AA-7EBE-6D1E1D233ACA}"/>
              </a:ext>
            </a:extLst>
          </xdr:cNvPr>
          <xdr:cNvGrpSpPr/>
        </xdr:nvGrpSpPr>
        <xdr:grpSpPr>
          <a:xfrm>
            <a:off x="7381875" y="590551"/>
            <a:ext cx="3038476" cy="554955"/>
            <a:chOff x="8591550" y="219075"/>
            <a:chExt cx="2390775" cy="753154"/>
          </a:xfr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6" name="Retângulo: Cantos Arredondados 15">
              <a:extLst>
                <a:ext uri="{FF2B5EF4-FFF2-40B4-BE49-F238E27FC236}">
                  <a16:creationId xmlns:a16="http://schemas.microsoft.com/office/drawing/2014/main" id="{B0F2700D-F6E8-443F-1343-4532C3604318}"/>
                </a:ext>
              </a:extLst>
            </xdr:cNvPr>
            <xdr:cNvSpPr/>
          </xdr:nvSpPr>
          <xdr:spPr>
            <a:xfrm>
              <a:off x="8591550" y="219075"/>
              <a:ext cx="2390775" cy="723900"/>
            </a:xfrm>
            <a:prstGeom prst="roundRect">
              <a:avLst/>
            </a:prstGeom>
            <a:solidFill>
              <a:srgbClr val="A3EE5B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'Tabela Dinâmica'!D3">
          <xdr:nvSpPr>
            <xdr:cNvPr id="17" name="CaixaDeTexto 16">
              <a:extLst>
                <a:ext uri="{FF2B5EF4-FFF2-40B4-BE49-F238E27FC236}">
                  <a16:creationId xmlns:a16="http://schemas.microsoft.com/office/drawing/2014/main" id="{7E625860-916F-EB49-AC12-CDB7FE7B66C4}"/>
                </a:ext>
              </a:extLst>
            </xdr:cNvPr>
            <xdr:cNvSpPr txBox="1"/>
          </xdr:nvSpPr>
          <xdr:spPr>
            <a:xfrm>
              <a:off x="9161018" y="524555"/>
              <a:ext cx="1219200" cy="4476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D49C18B-537A-4946-8F97-4AE21B87FBBE}" type="TxLink">
                <a:rPr lang="en-US" sz="1600" b="1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 1.448.752 </a:t>
              </a:fld>
              <a:endParaRPr lang="pt-BR" sz="2400" b="1"/>
            </a:p>
          </xdr:txBody>
        </xdr:sp>
        <xdr:sp macro="" textlink="">
          <xdr:nvSpPr>
            <xdr:cNvPr id="18" name="CaixaDeTexto 17">
              <a:extLst>
                <a:ext uri="{FF2B5EF4-FFF2-40B4-BE49-F238E27FC236}">
                  <a16:creationId xmlns:a16="http://schemas.microsoft.com/office/drawing/2014/main" id="{E1B24DC7-D4ED-EB0A-6E64-4E5155C39BF0}"/>
                </a:ext>
              </a:extLst>
            </xdr:cNvPr>
            <xdr:cNvSpPr txBox="1"/>
          </xdr:nvSpPr>
          <xdr:spPr>
            <a:xfrm>
              <a:off x="8776586" y="238125"/>
              <a:ext cx="2028825" cy="3333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800"/>
                <a:t>Total</a:t>
              </a:r>
              <a:r>
                <a:rPr lang="pt-BR" sz="1800" baseline="0"/>
                <a:t> </a:t>
              </a:r>
              <a:r>
                <a:rPr lang="pt-BR" sz="1800"/>
                <a:t>de Homicídios</a:t>
              </a:r>
            </a:p>
          </xdr:txBody>
        </xdr:sp>
      </xdr:grp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213F1CC9-B8BB-9015-FCA6-E9A5629D44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9896474" y="619125"/>
            <a:ext cx="447675" cy="447675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179.769099652774" createdVersion="8" refreshedVersion="8" minRefreshableVersion="3" recordCount="31" xr:uid="{00000000-000A-0000-FFFF-FFFF0C000000}">
  <cacheSource type="worksheet">
    <worksheetSource name="homicidios_report"/>
  </cacheSource>
  <cacheFields count="3">
    <cacheField name="País" numFmtId="0">
      <sharedItems/>
    </cacheField>
    <cacheField name="Ano" numFmtId="0">
      <sharedItems containsSemiMixedTypes="0" containsString="0" containsNumber="1" containsInteger="1" minValue="1989" maxValue="2019" count="31"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</sharedItems>
    </cacheField>
    <cacheField name="Qtd. Homicídios" numFmtId="164">
      <sharedItems containsSemiMixedTypes="0" containsString="0" containsNumber="1" containsInteger="1" minValue="28555" maxValue="65602"/>
    </cacheField>
  </cacheFields>
  <extLst>
    <ext xmlns:x14="http://schemas.microsoft.com/office/spreadsheetml/2009/9/main" uri="{725AE2AE-9491-48be-B2B4-4EB974FC3084}">
      <x14:pivotCacheDefinition pivotCacheId="144077854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Brasil"/>
    <x v="0"/>
    <n v="28767"/>
  </r>
  <r>
    <s v="Brasil"/>
    <x v="1"/>
    <n v="32015"/>
  </r>
  <r>
    <s v="Brasil"/>
    <x v="2"/>
    <n v="30752"/>
  </r>
  <r>
    <s v="Brasil"/>
    <x v="3"/>
    <n v="28555"/>
  </r>
  <r>
    <s v="Brasil"/>
    <x v="4"/>
    <n v="30618"/>
  </r>
  <r>
    <s v="Brasil"/>
    <x v="5"/>
    <n v="32631"/>
  </r>
  <r>
    <s v="Brasil"/>
    <x v="6"/>
    <n v="37152"/>
  </r>
  <r>
    <s v="Brasil"/>
    <x v="7"/>
    <n v="38929"/>
  </r>
  <r>
    <s v="Brasil"/>
    <x v="8"/>
    <n v="40531"/>
  </r>
  <r>
    <s v="Brasil"/>
    <x v="9"/>
    <n v="41974"/>
  </r>
  <r>
    <s v="Brasil"/>
    <x v="10"/>
    <n v="42947"/>
  </r>
  <r>
    <s v="Brasil"/>
    <x v="11"/>
    <n v="45433"/>
  </r>
  <r>
    <s v="Brasil"/>
    <x v="12"/>
    <n v="48032"/>
  </r>
  <r>
    <s v="Brasil"/>
    <x v="13"/>
    <n v="49816"/>
  </r>
  <r>
    <s v="Brasil"/>
    <x v="14"/>
    <n v="51534"/>
  </r>
  <r>
    <s v="Brasil"/>
    <x v="15"/>
    <n v="48909"/>
  </r>
  <r>
    <s v="Brasil"/>
    <x v="16"/>
    <n v="48136"/>
  </r>
  <r>
    <s v="Brasil"/>
    <x v="17"/>
    <n v="49704"/>
  </r>
  <r>
    <s v="Brasil"/>
    <x v="18"/>
    <n v="48219"/>
  </r>
  <r>
    <s v="Brasil"/>
    <x v="19"/>
    <n v="50659"/>
  </r>
  <r>
    <s v="Brasil"/>
    <x v="20"/>
    <n v="52043"/>
  </r>
  <r>
    <s v="Brasil"/>
    <x v="21"/>
    <n v="53016"/>
  </r>
  <r>
    <s v="Brasil"/>
    <x v="22"/>
    <n v="52807"/>
  </r>
  <r>
    <s v="Brasil"/>
    <x v="23"/>
    <n v="57045"/>
  </r>
  <r>
    <s v="Brasil"/>
    <x v="24"/>
    <n v="57396"/>
  </r>
  <r>
    <s v="Brasil"/>
    <x v="25"/>
    <n v="60474"/>
  </r>
  <r>
    <s v="Brasil"/>
    <x v="26"/>
    <n v="59080"/>
  </r>
  <r>
    <s v="Brasil"/>
    <x v="27"/>
    <n v="62517"/>
  </r>
  <r>
    <s v="Brasil"/>
    <x v="28"/>
    <n v="65602"/>
  </r>
  <r>
    <s v="Brasil"/>
    <x v="29"/>
    <n v="57956"/>
  </r>
  <r>
    <s v="Brasil"/>
    <x v="30"/>
    <n v="455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homicidios" cacheId="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2" rowHeaderCaption="Ano">
  <location ref="A1:B32" firstHeaderRow="1" firstDataRow="1" firstDataCol="1"/>
  <pivotFields count="3">
    <pivotField showAll="0"/>
    <pivotField axis="axisRow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ame="Qtd. Homicídios2" dataField="1" numFmtId="43" showAll="0"/>
  </pivotFields>
  <rowFields count="1">
    <field x="1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</rowItems>
  <colItems count="1">
    <i/>
  </colItems>
  <dataFields count="1">
    <dataField name="Qtd. Homicídios" fld="2" subtotal="max" baseField="1" baseItem="0" numFmtId="164"/>
  </dataFields>
  <formats count="17">
    <format dxfId="101">
      <pivotArea field="1" type="button" dataOnly="0" labelOnly="1" outline="0" axis="axisRow" fieldPosition="0"/>
    </format>
    <format dxfId="100">
      <pivotArea dataOnly="0" labelOnly="1" outline="0" axis="axisValues" fieldPosition="0"/>
    </format>
    <format dxfId="99">
      <pivotArea field="1" type="button" dataOnly="0" labelOnly="1" outline="0" axis="axisRow" fieldPosition="0"/>
    </format>
    <format dxfId="98">
      <pivotArea dataOnly="0" labelOnly="1" outline="0" axis="axisValues" fieldPosition="0"/>
    </format>
    <format dxfId="97">
      <pivotArea outline="0" collapsedLevelsAreSubtotals="1" fieldPosition="0"/>
    </format>
    <format dxfId="96">
      <pivotArea field="1" type="button" dataOnly="0" labelOnly="1" outline="0" axis="axisRow" fieldPosition="0"/>
    </format>
    <format dxfId="95">
      <pivotArea dataOnly="0" labelOnly="1" outline="0" axis="axisValues" fieldPosition="0"/>
    </format>
    <format dxfId="94">
      <pivotArea field="1" type="button" dataOnly="0" labelOnly="1" outline="0" axis="axisRow" fieldPosition="0"/>
    </format>
    <format dxfId="93">
      <pivotArea dataOnly="0" labelOnly="1" outline="0" axis="axisValues" fieldPosition="0"/>
    </format>
    <format dxfId="92">
      <pivotArea field="1" type="button" dataOnly="0" labelOnly="1" outline="0" axis="axisRow" fieldPosition="0"/>
    </format>
    <format dxfId="91">
      <pivotArea type="all" dataOnly="0" outline="0" fieldPosition="0"/>
    </format>
    <format dxfId="90">
      <pivotArea outline="0" collapsedLevelsAreSubtotals="1" fieldPosition="0"/>
    </format>
    <format dxfId="89">
      <pivotArea field="1" type="button" dataOnly="0" labelOnly="1" outline="0" axis="axisRow" fieldPosition="0"/>
    </format>
    <format dxfId="88">
      <pivotArea dataOnly="0" labelOnly="1" fieldPosition="0">
        <references count="1">
          <reference field="1" count="0"/>
        </references>
      </pivotArea>
    </format>
    <format dxfId="87">
      <pivotArea dataOnly="0" labelOnly="1" outline="0" axis="axisValues" fieldPosition="0"/>
    </format>
    <format dxfId="86">
      <pivotArea field="1" type="button" dataOnly="0" labelOnly="1" outline="0" axis="axisRow" fieldPosition="0"/>
    </format>
    <format dxfId="85">
      <pivotArea dataOnly="0" labelOnly="1" outline="0" axis="axisValues" fieldPosition="0"/>
    </format>
  </formats>
  <chartFormats count="5">
    <chartFormat chart="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11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00000000-0013-0000-FFFF-FFFF01000000}" sourceName="Ano">
  <pivotTables>
    <pivotTable tabId="2" name="homicidios"/>
  </pivotTables>
  <data>
    <tabular pivotCacheId="1440778549">
      <items count="3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" xr10:uid="{00000000-0014-0000-FFFF-FFFF01000000}" cache="SegmentaçãodeDados_Ano" caption="Ano" columnCount="8" style="Modelo Personalizado" rowHeight="360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omicidios_report" displayName="homicidios_report" ref="A1:C32" totalsRowShown="0" headerRowDxfId="108" headerRowBorderDxfId="107" tableBorderDxfId="106" totalsRowBorderDxfId="105">
  <autoFilter ref="A1:C32" xr:uid="{00000000-0009-0000-0100-000001000000}"/>
  <tableColumns count="3">
    <tableColumn id="1" xr3:uid="{00000000-0010-0000-0000-000001000000}" name="País" dataDxfId="104"/>
    <tableColumn id="2" xr3:uid="{00000000-0010-0000-0000-000002000000}" name="Ano" dataDxfId="103"/>
    <tableColumn id="3" xr3:uid="{00000000-0010-0000-0000-000003000000}" name="Qtd. Homicídios" dataDxfId="102" dataCellStyle="Vírgul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 tint="0.34998626667073579"/>
  </sheetPr>
  <dimension ref="A1:C32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21.33203125" style="2" customWidth="1"/>
    <col min="2" max="2" width="25.44140625" style="1" customWidth="1"/>
    <col min="3" max="3" width="30.77734375" style="1" customWidth="1"/>
    <col min="4" max="16384" width="8.88671875" style="1"/>
  </cols>
  <sheetData>
    <row r="1" spans="1:3" ht="37.799999999999997" customHeight="1" x14ac:dyDescent="0.3">
      <c r="A1" s="9" t="s">
        <v>1</v>
      </c>
      <c r="B1" s="10" t="s">
        <v>0</v>
      </c>
      <c r="C1" s="11" t="s">
        <v>3</v>
      </c>
    </row>
    <row r="2" spans="1:3" x14ac:dyDescent="0.3">
      <c r="A2" s="4" t="s">
        <v>2</v>
      </c>
      <c r="B2" s="3">
        <v>1989</v>
      </c>
      <c r="C2" s="7">
        <v>28767</v>
      </c>
    </row>
    <row r="3" spans="1:3" x14ac:dyDescent="0.3">
      <c r="A3" s="4" t="s">
        <v>2</v>
      </c>
      <c r="B3" s="3">
        <v>1990</v>
      </c>
      <c r="C3" s="7">
        <v>32015</v>
      </c>
    </row>
    <row r="4" spans="1:3" x14ac:dyDescent="0.3">
      <c r="A4" s="4" t="s">
        <v>2</v>
      </c>
      <c r="B4" s="3">
        <v>1991</v>
      </c>
      <c r="C4" s="7">
        <v>30752</v>
      </c>
    </row>
    <row r="5" spans="1:3" x14ac:dyDescent="0.3">
      <c r="A5" s="4" t="s">
        <v>2</v>
      </c>
      <c r="B5" s="3">
        <v>1992</v>
      </c>
      <c r="C5" s="7">
        <v>28555</v>
      </c>
    </row>
    <row r="6" spans="1:3" x14ac:dyDescent="0.3">
      <c r="A6" s="4" t="s">
        <v>2</v>
      </c>
      <c r="B6" s="3">
        <v>1993</v>
      </c>
      <c r="C6" s="7">
        <v>30618</v>
      </c>
    </row>
    <row r="7" spans="1:3" x14ac:dyDescent="0.3">
      <c r="A7" s="4" t="s">
        <v>2</v>
      </c>
      <c r="B7" s="3">
        <v>1994</v>
      </c>
      <c r="C7" s="7">
        <v>32631</v>
      </c>
    </row>
    <row r="8" spans="1:3" x14ac:dyDescent="0.3">
      <c r="A8" s="4" t="s">
        <v>2</v>
      </c>
      <c r="B8" s="3">
        <v>1995</v>
      </c>
      <c r="C8" s="7">
        <v>37152</v>
      </c>
    </row>
    <row r="9" spans="1:3" x14ac:dyDescent="0.3">
      <c r="A9" s="4" t="s">
        <v>2</v>
      </c>
      <c r="B9" s="3">
        <v>1996</v>
      </c>
      <c r="C9" s="7">
        <v>38929</v>
      </c>
    </row>
    <row r="10" spans="1:3" x14ac:dyDescent="0.3">
      <c r="A10" s="4" t="s">
        <v>2</v>
      </c>
      <c r="B10" s="3">
        <v>1997</v>
      </c>
      <c r="C10" s="7">
        <v>40531</v>
      </c>
    </row>
    <row r="11" spans="1:3" x14ac:dyDescent="0.3">
      <c r="A11" s="4" t="s">
        <v>2</v>
      </c>
      <c r="B11" s="3">
        <v>1998</v>
      </c>
      <c r="C11" s="7">
        <v>41974</v>
      </c>
    </row>
    <row r="12" spans="1:3" x14ac:dyDescent="0.3">
      <c r="A12" s="4" t="s">
        <v>2</v>
      </c>
      <c r="B12" s="3">
        <v>1999</v>
      </c>
      <c r="C12" s="7">
        <v>42947</v>
      </c>
    </row>
    <row r="13" spans="1:3" x14ac:dyDescent="0.3">
      <c r="A13" s="4" t="s">
        <v>2</v>
      </c>
      <c r="B13" s="3">
        <v>2000</v>
      </c>
      <c r="C13" s="7">
        <v>45433</v>
      </c>
    </row>
    <row r="14" spans="1:3" x14ac:dyDescent="0.3">
      <c r="A14" s="4" t="s">
        <v>2</v>
      </c>
      <c r="B14" s="3">
        <v>2001</v>
      </c>
      <c r="C14" s="7">
        <v>48032</v>
      </c>
    </row>
    <row r="15" spans="1:3" x14ac:dyDescent="0.3">
      <c r="A15" s="4" t="s">
        <v>2</v>
      </c>
      <c r="B15" s="3">
        <v>2002</v>
      </c>
      <c r="C15" s="7">
        <v>49816</v>
      </c>
    </row>
    <row r="16" spans="1:3" x14ac:dyDescent="0.3">
      <c r="A16" s="4" t="s">
        <v>2</v>
      </c>
      <c r="B16" s="3">
        <v>2003</v>
      </c>
      <c r="C16" s="7">
        <v>51534</v>
      </c>
    </row>
    <row r="17" spans="1:3" x14ac:dyDescent="0.3">
      <c r="A17" s="4" t="s">
        <v>2</v>
      </c>
      <c r="B17" s="3">
        <v>2004</v>
      </c>
      <c r="C17" s="7">
        <v>48909</v>
      </c>
    </row>
    <row r="18" spans="1:3" x14ac:dyDescent="0.3">
      <c r="A18" s="4" t="s">
        <v>2</v>
      </c>
      <c r="B18" s="3">
        <v>2005</v>
      </c>
      <c r="C18" s="7">
        <v>48136</v>
      </c>
    </row>
    <row r="19" spans="1:3" x14ac:dyDescent="0.3">
      <c r="A19" s="4" t="s">
        <v>2</v>
      </c>
      <c r="B19" s="3">
        <v>2006</v>
      </c>
      <c r="C19" s="7">
        <v>49704</v>
      </c>
    </row>
    <row r="20" spans="1:3" x14ac:dyDescent="0.3">
      <c r="A20" s="4" t="s">
        <v>2</v>
      </c>
      <c r="B20" s="3">
        <v>2007</v>
      </c>
      <c r="C20" s="7">
        <v>48219</v>
      </c>
    </row>
    <row r="21" spans="1:3" x14ac:dyDescent="0.3">
      <c r="A21" s="4" t="s">
        <v>2</v>
      </c>
      <c r="B21" s="3">
        <v>2008</v>
      </c>
      <c r="C21" s="7">
        <v>50659</v>
      </c>
    </row>
    <row r="22" spans="1:3" x14ac:dyDescent="0.3">
      <c r="A22" s="4" t="s">
        <v>2</v>
      </c>
      <c r="B22" s="3">
        <v>2009</v>
      </c>
      <c r="C22" s="7">
        <v>52043</v>
      </c>
    </row>
    <row r="23" spans="1:3" x14ac:dyDescent="0.3">
      <c r="A23" s="4" t="s">
        <v>2</v>
      </c>
      <c r="B23" s="3">
        <v>2010</v>
      </c>
      <c r="C23" s="7">
        <v>53016</v>
      </c>
    </row>
    <row r="24" spans="1:3" x14ac:dyDescent="0.3">
      <c r="A24" s="4" t="s">
        <v>2</v>
      </c>
      <c r="B24" s="3">
        <v>2011</v>
      </c>
      <c r="C24" s="7">
        <v>52807</v>
      </c>
    </row>
    <row r="25" spans="1:3" x14ac:dyDescent="0.3">
      <c r="A25" s="4" t="s">
        <v>2</v>
      </c>
      <c r="B25" s="3">
        <v>2012</v>
      </c>
      <c r="C25" s="7">
        <v>57045</v>
      </c>
    </row>
    <row r="26" spans="1:3" x14ac:dyDescent="0.3">
      <c r="A26" s="4" t="s">
        <v>2</v>
      </c>
      <c r="B26" s="3">
        <v>2013</v>
      </c>
      <c r="C26" s="7">
        <v>57396</v>
      </c>
    </row>
    <row r="27" spans="1:3" x14ac:dyDescent="0.3">
      <c r="A27" s="4" t="s">
        <v>2</v>
      </c>
      <c r="B27" s="3">
        <v>2014</v>
      </c>
      <c r="C27" s="7">
        <v>60474</v>
      </c>
    </row>
    <row r="28" spans="1:3" x14ac:dyDescent="0.3">
      <c r="A28" s="4" t="s">
        <v>2</v>
      </c>
      <c r="B28" s="3">
        <v>2015</v>
      </c>
      <c r="C28" s="7">
        <v>59080</v>
      </c>
    </row>
    <row r="29" spans="1:3" x14ac:dyDescent="0.3">
      <c r="A29" s="4" t="s">
        <v>2</v>
      </c>
      <c r="B29" s="3">
        <v>2016</v>
      </c>
      <c r="C29" s="7">
        <v>62517</v>
      </c>
    </row>
    <row r="30" spans="1:3" x14ac:dyDescent="0.3">
      <c r="A30" s="4" t="s">
        <v>2</v>
      </c>
      <c r="B30" s="3">
        <v>2017</v>
      </c>
      <c r="C30" s="7">
        <v>65602</v>
      </c>
    </row>
    <row r="31" spans="1:3" x14ac:dyDescent="0.3">
      <c r="A31" s="4" t="s">
        <v>2</v>
      </c>
      <c r="B31" s="3">
        <v>2018</v>
      </c>
      <c r="C31" s="7">
        <v>57956</v>
      </c>
    </row>
    <row r="32" spans="1:3" x14ac:dyDescent="0.3">
      <c r="A32" s="5" t="s">
        <v>2</v>
      </c>
      <c r="B32" s="6">
        <v>2019</v>
      </c>
      <c r="C32" s="8">
        <v>45503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1" tint="0.34998626667073579"/>
  </sheetPr>
  <dimension ref="A1:F32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10.6640625" bestFit="1" customWidth="1"/>
    <col min="2" max="2" width="21.6640625" bestFit="1" customWidth="1"/>
    <col min="4" max="4" width="23.44140625" customWidth="1"/>
    <col min="6" max="6" width="22.6640625" customWidth="1"/>
  </cols>
  <sheetData>
    <row r="1" spans="1:6" ht="38.4" customHeight="1" x14ac:dyDescent="0.3">
      <c r="A1" s="15" t="s">
        <v>0</v>
      </c>
      <c r="B1" s="15" t="s">
        <v>3</v>
      </c>
    </row>
    <row r="2" spans="1:6" x14ac:dyDescent="0.3">
      <c r="A2" s="12">
        <v>1989</v>
      </c>
      <c r="B2" s="13">
        <v>28767</v>
      </c>
      <c r="D2" s="14" t="s">
        <v>5</v>
      </c>
      <c r="F2" s="14" t="s">
        <v>4</v>
      </c>
    </row>
    <row r="3" spans="1:6" x14ac:dyDescent="0.3">
      <c r="A3" s="12">
        <v>1990</v>
      </c>
      <c r="B3" s="13">
        <v>32015</v>
      </c>
      <c r="D3" s="19">
        <f>SUM(B2:B32)</f>
        <v>1448752</v>
      </c>
      <c r="F3" s="18">
        <f>AVERAGE(B2:B32)</f>
        <v>46733.93548387097</v>
      </c>
    </row>
    <row r="4" spans="1:6" x14ac:dyDescent="0.3">
      <c r="A4" s="12">
        <v>1991</v>
      </c>
      <c r="B4" s="13">
        <v>30752</v>
      </c>
    </row>
    <row r="5" spans="1:6" x14ac:dyDescent="0.3">
      <c r="A5" s="12">
        <v>1992</v>
      </c>
      <c r="B5" s="13">
        <v>28555</v>
      </c>
    </row>
    <row r="6" spans="1:6" x14ac:dyDescent="0.3">
      <c r="A6" s="12">
        <v>1993</v>
      </c>
      <c r="B6" s="13">
        <v>30618</v>
      </c>
    </row>
    <row r="7" spans="1:6" x14ac:dyDescent="0.3">
      <c r="A7" s="12">
        <v>1994</v>
      </c>
      <c r="B7" s="13">
        <v>32631</v>
      </c>
    </row>
    <row r="8" spans="1:6" x14ac:dyDescent="0.3">
      <c r="A8" s="12">
        <v>1995</v>
      </c>
      <c r="B8" s="13">
        <v>37152</v>
      </c>
    </row>
    <row r="9" spans="1:6" x14ac:dyDescent="0.3">
      <c r="A9" s="12">
        <v>1996</v>
      </c>
      <c r="B9" s="13">
        <v>38929</v>
      </c>
    </row>
    <row r="10" spans="1:6" x14ac:dyDescent="0.3">
      <c r="A10" s="12">
        <v>1997</v>
      </c>
      <c r="B10" s="13">
        <v>40531</v>
      </c>
    </row>
    <row r="11" spans="1:6" x14ac:dyDescent="0.3">
      <c r="A11" s="12">
        <v>1998</v>
      </c>
      <c r="B11" s="13">
        <v>41974</v>
      </c>
    </row>
    <row r="12" spans="1:6" x14ac:dyDescent="0.3">
      <c r="A12" s="12">
        <v>1999</v>
      </c>
      <c r="B12" s="13">
        <v>42947</v>
      </c>
    </row>
    <row r="13" spans="1:6" x14ac:dyDescent="0.3">
      <c r="A13" s="12">
        <v>2000</v>
      </c>
      <c r="B13" s="13">
        <v>45433</v>
      </c>
    </row>
    <row r="14" spans="1:6" x14ac:dyDescent="0.3">
      <c r="A14" s="12">
        <v>2001</v>
      </c>
      <c r="B14" s="13">
        <v>48032</v>
      </c>
    </row>
    <row r="15" spans="1:6" x14ac:dyDescent="0.3">
      <c r="A15" s="12">
        <v>2002</v>
      </c>
      <c r="B15" s="13">
        <v>49816</v>
      </c>
    </row>
    <row r="16" spans="1:6" x14ac:dyDescent="0.3">
      <c r="A16" s="12">
        <v>2003</v>
      </c>
      <c r="B16" s="13">
        <v>51534</v>
      </c>
    </row>
    <row r="17" spans="1:2" x14ac:dyDescent="0.3">
      <c r="A17" s="12">
        <v>2004</v>
      </c>
      <c r="B17" s="13">
        <v>48909</v>
      </c>
    </row>
    <row r="18" spans="1:2" x14ac:dyDescent="0.3">
      <c r="A18" s="12">
        <v>2005</v>
      </c>
      <c r="B18" s="13">
        <v>48136</v>
      </c>
    </row>
    <row r="19" spans="1:2" x14ac:dyDescent="0.3">
      <c r="A19" s="12">
        <v>2006</v>
      </c>
      <c r="B19" s="13">
        <v>49704</v>
      </c>
    </row>
    <row r="20" spans="1:2" x14ac:dyDescent="0.3">
      <c r="A20" s="12">
        <v>2007</v>
      </c>
      <c r="B20" s="13">
        <v>48219</v>
      </c>
    </row>
    <row r="21" spans="1:2" x14ac:dyDescent="0.3">
      <c r="A21" s="12">
        <v>2008</v>
      </c>
      <c r="B21" s="13">
        <v>50659</v>
      </c>
    </row>
    <row r="22" spans="1:2" x14ac:dyDescent="0.3">
      <c r="A22" s="12">
        <v>2009</v>
      </c>
      <c r="B22" s="13">
        <v>52043</v>
      </c>
    </row>
    <row r="23" spans="1:2" x14ac:dyDescent="0.3">
      <c r="A23" s="12">
        <v>2010</v>
      </c>
      <c r="B23" s="13">
        <v>53016</v>
      </c>
    </row>
    <row r="24" spans="1:2" x14ac:dyDescent="0.3">
      <c r="A24" s="12">
        <v>2011</v>
      </c>
      <c r="B24" s="13">
        <v>52807</v>
      </c>
    </row>
    <row r="25" spans="1:2" x14ac:dyDescent="0.3">
      <c r="A25" s="12">
        <v>2012</v>
      </c>
      <c r="B25" s="13">
        <v>57045</v>
      </c>
    </row>
    <row r="26" spans="1:2" x14ac:dyDescent="0.3">
      <c r="A26" s="12">
        <v>2013</v>
      </c>
      <c r="B26" s="13">
        <v>57396</v>
      </c>
    </row>
    <row r="27" spans="1:2" x14ac:dyDescent="0.3">
      <c r="A27" s="12">
        <v>2014</v>
      </c>
      <c r="B27" s="13">
        <v>60474</v>
      </c>
    </row>
    <row r="28" spans="1:2" x14ac:dyDescent="0.3">
      <c r="A28" s="12">
        <v>2015</v>
      </c>
      <c r="B28" s="13">
        <v>59080</v>
      </c>
    </row>
    <row r="29" spans="1:2" x14ac:dyDescent="0.3">
      <c r="A29" s="12">
        <v>2016</v>
      </c>
      <c r="B29" s="13">
        <v>62517</v>
      </c>
    </row>
    <row r="30" spans="1:2" x14ac:dyDescent="0.3">
      <c r="A30" s="12">
        <v>2017</v>
      </c>
      <c r="B30" s="13">
        <v>65602</v>
      </c>
    </row>
    <row r="31" spans="1:2" x14ac:dyDescent="0.3">
      <c r="A31" s="12">
        <v>2018</v>
      </c>
      <c r="B31" s="13">
        <v>57956</v>
      </c>
    </row>
    <row r="32" spans="1:2" x14ac:dyDescent="0.3">
      <c r="A32" s="12">
        <v>2019</v>
      </c>
      <c r="B32" s="13">
        <v>45503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1" tint="0.34998626667073579"/>
  </sheetPr>
  <dimension ref="A1"/>
  <sheetViews>
    <sheetView zoomScale="80" zoomScaleNormal="80" workbookViewId="0">
      <pane ySplit="7" topLeftCell="A8" activePane="bottomLeft" state="frozen"/>
      <selection pane="bottomLeft"/>
    </sheetView>
  </sheetViews>
  <sheetFormatPr defaultRowHeight="14.4" x14ac:dyDescent="0.3"/>
  <cols>
    <col min="1" max="1" width="9.44140625" style="17" customWidth="1"/>
    <col min="2" max="16384" width="8.88671875" style="17"/>
  </cols>
  <sheetData>
    <row r="1" spans="1:1" x14ac:dyDescent="0.3">
      <c r="A1" s="16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Homicídios - Report</vt:lpstr>
      <vt:lpstr>Tabela Dinâmica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Silva</dc:creator>
  <cp:lastModifiedBy>Gustavo Silva</cp:lastModifiedBy>
  <dcterms:created xsi:type="dcterms:W3CDTF">2023-09-03T23:22:33Z</dcterms:created>
  <dcterms:modified xsi:type="dcterms:W3CDTF">2023-09-10T21:27:58Z</dcterms:modified>
</cp:coreProperties>
</file>