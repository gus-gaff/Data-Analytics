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Salvos\"/>
    </mc:Choice>
  </mc:AlternateContent>
  <xr:revisionPtr revIDLastSave="0" documentId="13_ncr:1_{D59ACEBC-2338-4AF1-BEA3-8C8984446804}" xr6:coauthVersionLast="47" xr6:coauthVersionMax="47" xr10:uidLastSave="{00000000-0000-0000-0000-000000000000}"/>
  <bookViews>
    <workbookView xWindow="-108" yWindow="-108" windowWidth="23256" windowHeight="12576" xr2:uid="{97B8E295-2163-4E5F-8B12-5D4DD304BA19}"/>
  </bookViews>
  <sheets>
    <sheet name="Égide - Analytics" sheetId="1" r:id="rId1"/>
    <sheet name="Tabela Dinâmica" sheetId="2" r:id="rId2"/>
    <sheet name="Dashboard" sheetId="5" r:id="rId3"/>
  </sheets>
  <definedNames>
    <definedName name="_xlnm._FilterDatabase" localSheetId="0" hidden="1">'Égide - Analytics'!$A$1:$E$49</definedName>
    <definedName name="SegmentaçãodeDados_Ano">#N/A</definedName>
    <definedName name="SegmentaçãodeDados_Nome_do_Mês">#N/A</definedName>
  </definedNames>
  <calcPr calcId="191029"/>
  <pivotCaches>
    <pivotCache cacheId="15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2" l="1"/>
  <c r="E5" i="2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13" i="2" l="1"/>
</calcChain>
</file>

<file path=xl/sharedStrings.xml><?xml version="1.0" encoding="utf-8"?>
<sst xmlns="http://schemas.openxmlformats.org/spreadsheetml/2006/main" count="122" uniqueCount="24">
  <si>
    <t>Empresa</t>
  </si>
  <si>
    <t>Ano</t>
  </si>
  <si>
    <t>Lucro</t>
  </si>
  <si>
    <t>Égide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</si>
  <si>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</si>
  <si>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</si>
  <si>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</si>
  <si>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</si>
  <si>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</si>
  <si>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</si>
  <si>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</si>
  <si>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</si>
  <si>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</si>
  <si>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</si>
  <si>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</si>
  <si>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</si>
  <si>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Número do Mês</t>
  </si>
  <si>
    <t>Nome do Mês</t>
  </si>
  <si>
    <t>Meta</t>
  </si>
  <si>
    <t>(Tudo)</t>
  </si>
  <si>
    <t>Lucro da Empresa</t>
  </si>
  <si>
    <t>Meta da Empresa</t>
  </si>
  <si>
    <t>Meses</t>
  </si>
  <si>
    <t>Meta atingida?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</si>
</sst>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_-[$R$-416]\ * #,##0_-;\-[$R$-416]\ * #,##0_-;_-[$R$-416]\ * &quot;-&quot;??_-;_-@_-"/>
    <numFmt numFmtId="165" formatCode="_-[$R$-416]\ * #,##0.00_-;\-[$R$-416]\ * #,##0.00_-;_-[$R$-416]\ * &quot;-&quot;??_-;_-@_-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2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8" xfId="0" applyBorder="1" applyAlignment="1">
      <alignment horizontal="left" vertical="center"/>
    </xf>
    <xf numFmtId="1" fontId="0" fillId="0" borderId="1" xfId="0" applyNumberFormat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/>
    <xf numFmtId="0" fontId="5" fillId="3" borderId="1" xfId="0" applyFont="1" applyFill="1" applyBorder="1" applyAlignment="1">
      <alignment horizontal="center" vertical="center"/>
    </xf>
    <xf numFmtId="164" fontId="0" fillId="0" borderId="3" xfId="1" applyNumberFormat="1" applyFont="1" applyBorder="1" applyAlignment="1">
      <alignment horizontal="right" vertical="center"/>
    </xf>
    <xf numFmtId="164" fontId="0" fillId="0" borderId="1" xfId="1" applyNumberFormat="1" applyFont="1" applyBorder="1" applyAlignment="1">
      <alignment horizontal="right" vertical="center"/>
    </xf>
    <xf numFmtId="164" fontId="0" fillId="0" borderId="9" xfId="1" applyNumberFormat="1" applyFont="1" applyBorder="1" applyAlignment="1">
      <alignment horizontal="right" vertical="center"/>
    </xf>
    <xf numFmtId="0" fontId="4" fillId="0" borderId="1" xfId="0" pivotButton="1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right" vertical="center"/>
    </xf>
    <xf numFmtId="165" fontId="0" fillId="3" borderId="1" xfId="0" applyNumberFormat="1" applyFill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380"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_-[$R$-416]\ * #,##0.00_-;\-[$R$-416]\ * #,##0.00_-;_-[$R$-416]\ * &quot;-&quot;??_-;_-@_-"/>
    </dxf>
    <dxf>
      <font>
        <b/>
      </font>
    </dxf>
    <dxf>
      <alignment horizontal="right"/>
    </dxf>
    <dxf>
      <alignment horizontal="left"/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font>
        <b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</font>
    </dxf>
    <dxf>
      <fill>
        <patternFill patternType="solid">
          <bgColor theme="7" tint="-0.249977111117893"/>
        </patternFill>
      </fill>
    </dxf>
    <dxf>
      <fill>
        <patternFill patternType="solid">
          <bgColor theme="7" tint="-0.249977111117893"/>
        </patternFill>
      </fill>
    </dxf>
    <dxf>
      <alignment horizontal="left"/>
    </dxf>
    <dxf>
      <alignment horizontal="right"/>
    </dxf>
    <dxf>
      <font>
        <b/>
      </font>
    </dxf>
    <dxf>
      <numFmt numFmtId="165" formatCode="_-[$R$-416]\ * #,##0.00_-;\-[$R$-416]\ * #,##0.00_-;_-[$R$-416]\ * &quot;-&quot;??_-;_-@_-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numFmt numFmtId="164" formatCode="_-[$R$-416]\ * #,##0_-;\-[$R$-416]\ * #,##0_-;_-[$R$-416]\ * &quot;-&quot;??_-;_-@_-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[$R$-416]\ * #,##0_-;\-[$R$-416]\ * #,##0_-;_-[$R$-416]\ * &quot;-&quot;??_-;_-@_-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z val="18"/>
        <color theme="1"/>
      </font>
      <border>
        <bottom style="thin">
          <color theme="4"/>
        </bottom>
        <vertical/>
        <horizontal/>
      </border>
    </dxf>
    <dxf>
      <font>
        <b val="0"/>
        <i val="0"/>
        <u val="none"/>
        <sz val="16"/>
        <color auto="1"/>
        <name val="Calibri"/>
        <family val="2"/>
        <scheme val="minor"/>
      </font>
      <fill>
        <patternFill patternType="solid"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Modelo Personalizado" pivot="0" table="0" count="10" xr9:uid="{D1DD7D97-C3D9-4D06-9883-0DED2526AB86}">
      <tableStyleElement type="wholeTable" dxfId="379"/>
      <tableStyleElement type="headerRow" dxfId="378"/>
    </tableStyle>
  </tableStyles>
  <colors>
    <mruColors>
      <color rgb="FF700A70"/>
      <color rgb="FFEA14EA"/>
      <color rgb="FF1B029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patternFill patternType="solid">
              <fgColor auto="1"/>
              <bgColor rgb="FFFFFF0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FFFF0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FFFF0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FFFF0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89013336588644"/>
              <bgColor theme="0" tint="-0.49998474074526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theme="9" tint="-0.49998474074526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0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FFFFFF"/>
              <bgColor theme="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odelo Personalizado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[Egide Empresa - Analytics.xlsm]Tabela Dinâmica!tabela_egide_lucro</c:name>
    <c:fmtId val="2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28575" cap="rnd" cmpd="sng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4.5085662759243115E-3"/>
              <c:y val="-2.726653033401499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"/>
              <c:y val="-3.40831629175188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"/>
              <c:y val="-2.385821404226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"/>
              <c:y val="-1.022494887525565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2.755203118056626E-17"/>
              <c:y val="-2.044989775051124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"/>
              <c:y val="-2.385821404226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2.755203118056626E-17"/>
              <c:y val="-2.044989775051124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"/>
              <c:y val="-3.40831629175188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4.5085662759243115E-3"/>
              <c:y val="-2.726653033401499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"/>
              <c:y val="-1.022494887525565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28575" cap="rnd" cmpd="sng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"/>
              <c:y val="-2.385821404226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2.755203118056626E-17"/>
              <c:y val="-2.044989775051124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"/>
              <c:y val="-3.40831629175188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4.5085662759243115E-3"/>
              <c:y val="-2.726653033401499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bg2">
              <a:lumMod val="1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"/>
              <c:y val="-1.022494887525565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5400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28575" cap="rnd" cmpd="sng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285533064002709E-2"/>
          <c:y val="0.172236859175873"/>
          <c:w val="0.82765905393047601"/>
          <c:h val="0.739543726235741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 Dinâmica'!$B$3</c:f>
              <c:strCache>
                <c:ptCount val="1"/>
                <c:pt idx="0">
                  <c:v>Lucro da Empresa</c:v>
                </c:pt>
              </c:strCache>
            </c:strRef>
          </c:tx>
          <c:spPr>
            <a:solidFill>
              <a:schemeClr val="bg2">
                <a:lumMod val="10000"/>
              </a:schemeClr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C600-40EB-8EBD-B2D9EE22D0A9}"/>
              </c:ext>
            </c:extLst>
          </c:dPt>
          <c:dPt>
            <c:idx val="3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600-40EB-8EBD-B2D9EE22D0A9}"/>
              </c:ext>
            </c:extLst>
          </c:dPt>
          <c:dPt>
            <c:idx val="5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600-40EB-8EBD-B2D9EE22D0A9}"/>
              </c:ext>
            </c:extLst>
          </c:dPt>
          <c:dPt>
            <c:idx val="7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600-40EB-8EBD-B2D9EE22D0A9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C600-40EB-8EBD-B2D9EE22D0A9}"/>
              </c:ext>
            </c:extLst>
          </c:dPt>
          <c:dLbls>
            <c:dLbl>
              <c:idx val="2"/>
              <c:layout>
                <c:manualLayout>
                  <c:x val="0"/>
                  <c:y val="-2.38582140422631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00-40EB-8EBD-B2D9EE22D0A9}"/>
                </c:ext>
              </c:extLst>
            </c:dLbl>
            <c:dLbl>
              <c:idx val="3"/>
              <c:layout>
                <c:manualLayout>
                  <c:x val="-2.755203118056626E-17"/>
                  <c:y val="-2.04498977505112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00-40EB-8EBD-B2D9EE22D0A9}"/>
                </c:ext>
              </c:extLst>
            </c:dLbl>
            <c:dLbl>
              <c:idx val="5"/>
              <c:layout>
                <c:manualLayout>
                  <c:x val="0"/>
                  <c:y val="-3.40831629175188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00-40EB-8EBD-B2D9EE22D0A9}"/>
                </c:ext>
              </c:extLst>
            </c:dLbl>
            <c:dLbl>
              <c:idx val="7"/>
              <c:layout>
                <c:manualLayout>
                  <c:x val="-4.5085662759243115E-3"/>
                  <c:y val="-2.72665303340149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00-40EB-8EBD-B2D9EE22D0A9}"/>
                </c:ext>
              </c:extLst>
            </c:dLbl>
            <c:dLbl>
              <c:idx val="11"/>
              <c:layout>
                <c:manualLayout>
                  <c:x val="0"/>
                  <c:y val="-1.02249488752556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00-40EB-8EBD-B2D9EE22D0A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'Tabela Dinâmica'!$A$4:$A$15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'Tabela Dinâmica'!$B$4:$B$15</c:f>
              <c:numCache>
                <c:formatCode>_-[$R$-416]\ * #,##0.00_-;\-[$R$-416]\ * #,##0.00_-;_-[$R$-416]\ * "-"??_-;_-@_-</c:formatCode>
                <c:ptCount val="12"/>
                <c:pt idx="0">
                  <c:v>23228714</c:v>
                </c:pt>
                <c:pt idx="1">
                  <c:v>16983506</c:v>
                </c:pt>
                <c:pt idx="2">
                  <c:v>26559786</c:v>
                </c:pt>
                <c:pt idx="3">
                  <c:v>21263871</c:v>
                </c:pt>
                <c:pt idx="4">
                  <c:v>25874904</c:v>
                </c:pt>
                <c:pt idx="5">
                  <c:v>15429534</c:v>
                </c:pt>
                <c:pt idx="6">
                  <c:v>34988207</c:v>
                </c:pt>
                <c:pt idx="7">
                  <c:v>29595973</c:v>
                </c:pt>
                <c:pt idx="8">
                  <c:v>17756667</c:v>
                </c:pt>
                <c:pt idx="9">
                  <c:v>26841923</c:v>
                </c:pt>
                <c:pt idx="10">
                  <c:v>20022990</c:v>
                </c:pt>
                <c:pt idx="11">
                  <c:v>23417924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00-40EB-8EBD-B2D9EE22D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6380527"/>
        <c:axId val="1853217439"/>
      </c:barChart>
      <c:lineChart>
        <c:grouping val="standard"/>
        <c:varyColors val="0"/>
        <c:ser>
          <c:idx val="1"/>
          <c:order val="1"/>
          <c:tx>
            <c:strRef>
              <c:f>'Tabela Dinâmica'!$C$3</c:f>
              <c:strCache>
                <c:ptCount val="1"/>
                <c:pt idx="0">
                  <c:v>Meta da Empresa</c:v>
                </c:pt>
              </c:strCache>
            </c:strRef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28575" cap="rnd" cmpd="sng">
                <a:solidFill>
                  <a:srgbClr val="C00000"/>
                </a:solidFill>
              </a:ln>
              <a:effectLst/>
            </c:spPr>
          </c:marker>
          <c:cat>
            <c:strRef>
              <c:f>'Tabela Dinâmica'!$A$4:$A$15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'Tabela Dinâmica'!$C$4:$C$15</c:f>
              <c:numCache>
                <c:formatCode>_-[$R$-416]\ * #,##0.00_-;\-[$R$-416]\ * #,##0.00_-;_-[$R$-416]\ * "-"??_-;_-@_-</c:formatCode>
                <c:ptCount val="12"/>
                <c:pt idx="0">
                  <c:v>22832227</c:v>
                </c:pt>
                <c:pt idx="1">
                  <c:v>21565159</c:v>
                </c:pt>
                <c:pt idx="2">
                  <c:v>24711116</c:v>
                </c:pt>
                <c:pt idx="3">
                  <c:v>32376255</c:v>
                </c:pt>
                <c:pt idx="4">
                  <c:v>28248021</c:v>
                </c:pt>
                <c:pt idx="5">
                  <c:v>28443646</c:v>
                </c:pt>
                <c:pt idx="6">
                  <c:v>26669575</c:v>
                </c:pt>
                <c:pt idx="7">
                  <c:v>21858591</c:v>
                </c:pt>
                <c:pt idx="8">
                  <c:v>26057876</c:v>
                </c:pt>
                <c:pt idx="9">
                  <c:v>34169841</c:v>
                </c:pt>
                <c:pt idx="10">
                  <c:v>21470125</c:v>
                </c:pt>
                <c:pt idx="11">
                  <c:v>18614750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C600-40EB-8EBD-B2D9EE22D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6380527"/>
        <c:axId val="1853217439"/>
      </c:lineChart>
      <c:catAx>
        <c:axId val="1856380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3217439"/>
        <c:crosses val="autoZero"/>
        <c:auto val="1"/>
        <c:lblAlgn val="ctr"/>
        <c:lblOffset val="100"/>
        <c:noMultiLvlLbl val="0"/>
      </c:catAx>
      <c:valAx>
        <c:axId val="1853217439"/>
        <c:scaling>
          <c:orientation val="minMax"/>
        </c:scaling>
        <c:delete val="1"/>
        <c:axPos val="l"/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1856380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323674816519214"/>
          <c:y val="0.20418159627653323"/>
          <c:w val="0.12647094452559945"/>
          <c:h val="0.124861325324025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 sz="800">
          <a:ln>
            <a:noFill/>
          </a:ln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111760</xdr:rowOff>
    </xdr:from>
    <xdr:to>
      <xdr:col>2</xdr:col>
      <xdr:colOff>472800</xdr:colOff>
      <xdr:row>21</xdr:row>
      <xdr:rowOff>59267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o 1">
              <a:extLst>
                <a:ext uri="{FF2B5EF4-FFF2-40B4-BE49-F238E27FC236}">
                  <a16:creationId xmlns:a16="http://schemas.microsoft.com/office/drawing/2014/main" id="{01B6784B-9E56-4091-8211-B010F214F9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757680"/>
              <a:ext cx="1692000" cy="21420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22</xdr:row>
      <xdr:rowOff>166796</xdr:rowOff>
    </xdr:from>
    <xdr:to>
      <xdr:col>2</xdr:col>
      <xdr:colOff>472800</xdr:colOff>
      <xdr:row>38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ome do Mês 1">
              <a:extLst>
                <a:ext uri="{FF2B5EF4-FFF2-40B4-BE49-F238E27FC236}">
                  <a16:creationId xmlns:a16="http://schemas.microsoft.com/office/drawing/2014/main" id="{A0AC37E0-1DCD-4939-81CD-992D1491CF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e do 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90156"/>
              <a:ext cx="1692000" cy="28354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9</xdr:col>
      <xdr:colOff>533400</xdr:colOff>
      <xdr:row>0</xdr:row>
      <xdr:rowOff>1</xdr:rowOff>
    </xdr:from>
    <xdr:to>
      <xdr:col>16</xdr:col>
      <xdr:colOff>87206</xdr:colOff>
      <xdr:row>2</xdr:row>
      <xdr:rowOff>53341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386F668F-EE09-40DD-8EE7-8D69970559BF}"/>
            </a:ext>
          </a:extLst>
        </xdr:cNvPr>
        <xdr:cNvGrpSpPr/>
      </xdr:nvGrpSpPr>
      <xdr:grpSpPr>
        <a:xfrm>
          <a:off x="6019800" y="1"/>
          <a:ext cx="3821006" cy="419100"/>
          <a:chOff x="6080760" y="0"/>
          <a:chExt cx="3627120" cy="480060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D304939-C914-F0FD-FAF9-A2F4B9336C71}"/>
              </a:ext>
            </a:extLst>
          </xdr:cNvPr>
          <xdr:cNvSpPr/>
        </xdr:nvSpPr>
        <xdr:spPr>
          <a:xfrm>
            <a:off x="6080760" y="0"/>
            <a:ext cx="3627120" cy="480060"/>
          </a:xfrm>
          <a:prstGeom prst="roundRect">
            <a:avLst/>
          </a:prstGeom>
          <a:solidFill>
            <a:schemeClr val="bg2">
              <a:lumMod val="1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7FA37F32-16CF-5DE1-A0F6-C8DE609AFA61}"/>
              </a:ext>
            </a:extLst>
          </xdr:cNvPr>
          <xdr:cNvSpPr txBox="1"/>
        </xdr:nvSpPr>
        <xdr:spPr>
          <a:xfrm>
            <a:off x="6467414" y="50135"/>
            <a:ext cx="2865624" cy="3027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000" b="1">
                <a:solidFill>
                  <a:schemeClr val="bg1"/>
                </a:solidFill>
              </a:rPr>
              <a:t>Lucro</a:t>
            </a:r>
            <a:r>
              <a:rPr lang="pt-BR" sz="2000" b="1" baseline="0">
                <a:solidFill>
                  <a:schemeClr val="bg1"/>
                </a:solidFill>
              </a:rPr>
              <a:t> | Meta (2020 - 2023) </a:t>
            </a:r>
            <a:endParaRPr lang="pt-BR" sz="20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7</xdr:col>
      <xdr:colOff>265841</xdr:colOff>
      <xdr:row>2</xdr:row>
      <xdr:rowOff>91440</xdr:rowOff>
    </xdr:from>
    <xdr:to>
      <xdr:col>12</xdr:col>
      <xdr:colOff>169841</xdr:colOff>
      <xdr:row>5</xdr:row>
      <xdr:rowOff>108000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5BE929FB-A4F4-48B8-82F1-1E6A8135EC5B}"/>
            </a:ext>
          </a:extLst>
        </xdr:cNvPr>
        <xdr:cNvGrpSpPr/>
      </xdr:nvGrpSpPr>
      <xdr:grpSpPr>
        <a:xfrm>
          <a:off x="4533041" y="457200"/>
          <a:ext cx="2952000" cy="565200"/>
          <a:chOff x="5006340" y="815340"/>
          <a:chExt cx="2804160" cy="822960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pSp>
        <xdr:nvGrpSpPr>
          <xdr:cNvPr id="8" name="Agrupar 7">
            <a:extLst>
              <a:ext uri="{FF2B5EF4-FFF2-40B4-BE49-F238E27FC236}">
                <a16:creationId xmlns:a16="http://schemas.microsoft.com/office/drawing/2014/main" id="{BBE0EA9D-0004-C9D5-A5EC-DB7EE2AB95F9}"/>
              </a:ext>
            </a:extLst>
          </xdr:cNvPr>
          <xdr:cNvGrpSpPr/>
        </xdr:nvGrpSpPr>
        <xdr:grpSpPr>
          <a:xfrm>
            <a:off x="5006340" y="845820"/>
            <a:ext cx="2804160" cy="792480"/>
            <a:chOff x="5212080" y="541020"/>
            <a:chExt cx="2804160" cy="792480"/>
          </a:xfrm>
        </xdr:grpSpPr>
        <xdr:sp macro="" textlink="">
          <xdr:nvSpPr>
            <xdr:cNvPr id="10" name="Retângulo: Cantos Arredondados 9">
              <a:extLst>
                <a:ext uri="{FF2B5EF4-FFF2-40B4-BE49-F238E27FC236}">
                  <a16:creationId xmlns:a16="http://schemas.microsoft.com/office/drawing/2014/main" id="{D8109C07-D9BC-109F-5A92-5D3A8737B588}"/>
                </a:ext>
              </a:extLst>
            </xdr:cNvPr>
            <xdr:cNvSpPr/>
          </xdr:nvSpPr>
          <xdr:spPr>
            <a:xfrm>
              <a:off x="5212080" y="541020"/>
              <a:ext cx="2804160" cy="792480"/>
            </a:xfrm>
            <a:prstGeom prst="round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'Tabela Dinâmica'!E5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6087FB06-5ED2-38F6-FBB0-CBA46B195BB9}"/>
                </a:ext>
              </a:extLst>
            </xdr:cNvPr>
            <xdr:cNvSpPr txBox="1"/>
          </xdr:nvSpPr>
          <xdr:spPr>
            <a:xfrm>
              <a:off x="5783580" y="876300"/>
              <a:ext cx="1615440" cy="42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E8EF141-5217-44F2-839B-F8ABD15554C2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R$ 281.963.999,00 </a:t>
              </a:fld>
              <a:endParaRPr lang="en-US" sz="1400" b="1"/>
            </a:p>
          </xdr:txBody>
        </xdr:sp>
      </xdr:grpSp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EFD6DEDD-44A0-84A6-21A4-8ADE60068624}"/>
              </a:ext>
            </a:extLst>
          </xdr:cNvPr>
          <xdr:cNvSpPr txBox="1"/>
        </xdr:nvSpPr>
        <xdr:spPr>
          <a:xfrm>
            <a:off x="5529022" y="815340"/>
            <a:ext cx="182118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0"/>
              <a:t>Lucro</a:t>
            </a:r>
          </a:p>
        </xdr:txBody>
      </xdr:sp>
    </xdr:grpSp>
    <xdr:clientData/>
  </xdr:twoCellAnchor>
  <xdr:twoCellAnchor>
    <xdr:from>
      <xdr:col>13</xdr:col>
      <xdr:colOff>281090</xdr:colOff>
      <xdr:row>2</xdr:row>
      <xdr:rowOff>99060</xdr:rowOff>
    </xdr:from>
    <xdr:to>
      <xdr:col>18</xdr:col>
      <xdr:colOff>480060</xdr:colOff>
      <xdr:row>5</xdr:row>
      <xdr:rowOff>117140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2D05786C-D879-42AD-936B-7CB5F5413521}"/>
            </a:ext>
          </a:extLst>
        </xdr:cNvPr>
        <xdr:cNvGrpSpPr/>
      </xdr:nvGrpSpPr>
      <xdr:grpSpPr>
        <a:xfrm>
          <a:off x="8205890" y="464820"/>
          <a:ext cx="3246970" cy="566720"/>
          <a:chOff x="8336280" y="807720"/>
          <a:chExt cx="2804160" cy="830580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F9998104-AF41-3143-06B2-D79DF8677677}"/>
              </a:ext>
            </a:extLst>
          </xdr:cNvPr>
          <xdr:cNvGrpSpPr/>
        </xdr:nvGrpSpPr>
        <xdr:grpSpPr>
          <a:xfrm>
            <a:off x="8336280" y="845820"/>
            <a:ext cx="2804160" cy="792480"/>
            <a:chOff x="8115300" y="518160"/>
            <a:chExt cx="2804160" cy="792480"/>
          </a:xfrm>
        </xdr:grpSpPr>
        <xdr:sp macro="" textlink="">
          <xdr:nvSpPr>
            <xdr:cNvPr id="15" name="Retângulo: Cantos Arredondados 14">
              <a:extLst>
                <a:ext uri="{FF2B5EF4-FFF2-40B4-BE49-F238E27FC236}">
                  <a16:creationId xmlns:a16="http://schemas.microsoft.com/office/drawing/2014/main" id="{75D36F68-11F4-14C5-F71C-5EB28F0C077B}"/>
                </a:ext>
              </a:extLst>
            </xdr:cNvPr>
            <xdr:cNvSpPr/>
          </xdr:nvSpPr>
          <xdr:spPr>
            <a:xfrm>
              <a:off x="8115300" y="518160"/>
              <a:ext cx="2804160" cy="792480"/>
            </a:xfrm>
            <a:prstGeom prst="round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'Tabela Dinâmica'!E9">
          <xdr:nvSpPr>
            <xdr:cNvPr id="16" name="CaixaDeTexto 15">
              <a:extLst>
                <a:ext uri="{FF2B5EF4-FFF2-40B4-BE49-F238E27FC236}">
                  <a16:creationId xmlns:a16="http://schemas.microsoft.com/office/drawing/2014/main" id="{5C737557-6135-9FF6-BB74-E67628DF9C3B}"/>
                </a:ext>
              </a:extLst>
            </xdr:cNvPr>
            <xdr:cNvSpPr txBox="1"/>
          </xdr:nvSpPr>
          <xdr:spPr>
            <a:xfrm>
              <a:off x="8709660" y="868680"/>
              <a:ext cx="1615440" cy="42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496D928F-45A1-4AC7-BDF2-74C8CAECD7F8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R$ 307.017.182,00 </a:t>
              </a:fld>
              <a:endParaRPr lang="en-US" sz="1400" b="1"/>
            </a:p>
          </xdr:txBody>
        </xdr:sp>
      </xdr:grp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60F57186-5DA4-805E-4AFA-3C3A31482B91}"/>
              </a:ext>
            </a:extLst>
          </xdr:cNvPr>
          <xdr:cNvSpPr txBox="1"/>
        </xdr:nvSpPr>
        <xdr:spPr>
          <a:xfrm>
            <a:off x="9093234" y="807720"/>
            <a:ext cx="1363980" cy="5181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 b="0" baseline="0"/>
              <a:t>Meta</a:t>
            </a:r>
            <a:endParaRPr lang="pt-BR" sz="1800" b="0"/>
          </a:p>
        </xdr:txBody>
      </xdr:sp>
    </xdr:grpSp>
    <xdr:clientData/>
  </xdr:twoCellAnchor>
  <xdr:twoCellAnchor>
    <xdr:from>
      <xdr:col>19</xdr:col>
      <xdr:colOff>268394</xdr:colOff>
      <xdr:row>0</xdr:row>
      <xdr:rowOff>71965</xdr:rowOff>
    </xdr:from>
    <xdr:to>
      <xdr:col>22</xdr:col>
      <xdr:colOff>289560</xdr:colOff>
      <xdr:row>5</xdr:row>
      <xdr:rowOff>102445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18BFFD42-2A76-4CBA-B9B4-C3C81B31DD1E}"/>
            </a:ext>
          </a:extLst>
        </xdr:cNvPr>
        <xdr:cNvGrpSpPr/>
      </xdr:nvGrpSpPr>
      <xdr:grpSpPr>
        <a:xfrm>
          <a:off x="11850794" y="71965"/>
          <a:ext cx="1849966" cy="944880"/>
          <a:chOff x="2369352" y="617220"/>
          <a:chExt cx="1950720" cy="983857"/>
        </a:xfrm>
        <a:solidFill>
          <a:schemeClr val="bg2">
            <a:lumMod val="10000"/>
          </a:schemeClr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8" name="Elipse 17">
            <a:extLst>
              <a:ext uri="{FF2B5EF4-FFF2-40B4-BE49-F238E27FC236}">
                <a16:creationId xmlns:a16="http://schemas.microsoft.com/office/drawing/2014/main" id="{1C656E75-7DEA-B750-9690-FA47B8C0E215}"/>
              </a:ext>
            </a:extLst>
          </xdr:cNvPr>
          <xdr:cNvSpPr/>
        </xdr:nvSpPr>
        <xdr:spPr>
          <a:xfrm>
            <a:off x="2455184" y="617220"/>
            <a:ext cx="1779057" cy="983857"/>
          </a:xfrm>
          <a:prstGeom prst="ellipse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Tabela Dinâmica'!E13">
        <xdr:nvSpPr>
          <xdr:cNvPr id="19" name="CaixaDeTexto 18">
            <a:extLst>
              <a:ext uri="{FF2B5EF4-FFF2-40B4-BE49-F238E27FC236}">
                <a16:creationId xmlns:a16="http://schemas.microsoft.com/office/drawing/2014/main" id="{D90E7B4F-C0D9-BF3F-BA83-0830286EB328}"/>
              </a:ext>
            </a:extLst>
          </xdr:cNvPr>
          <xdr:cNvSpPr txBox="1"/>
        </xdr:nvSpPr>
        <xdr:spPr>
          <a:xfrm>
            <a:off x="2369352" y="937260"/>
            <a:ext cx="1950720" cy="3276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834AD5F-2CF3-4A59-88E3-489A5BEAAE78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Não atingimos a meta!</a:t>
            </a:fld>
            <a:endParaRPr lang="pt-BR" sz="12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45720</xdr:colOff>
      <xdr:row>8</xdr:row>
      <xdr:rowOff>68580</xdr:rowOff>
    </xdr:from>
    <xdr:to>
      <xdr:col>22</xdr:col>
      <xdr:colOff>384385</xdr:colOff>
      <xdr:row>37</xdr:row>
      <xdr:rowOff>153247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48CBA9F1-A382-4BEF-8EEF-E04BB841B9E9}"/>
            </a:ext>
          </a:extLst>
        </xdr:cNvPr>
        <xdr:cNvGrpSpPr/>
      </xdr:nvGrpSpPr>
      <xdr:grpSpPr>
        <a:xfrm>
          <a:off x="2484120" y="1531620"/>
          <a:ext cx="11311465" cy="5388187"/>
          <a:chOff x="4075467" y="2327601"/>
          <a:chExt cx="8572500" cy="4008120"/>
        </a:xfrm>
      </xdr:grpSpPr>
      <xdr:graphicFrame macro="">
        <xdr:nvGraphicFramePr>
          <xdr:cNvPr id="21" name="grafico_egide_lucro">
            <a:extLst>
              <a:ext uri="{FF2B5EF4-FFF2-40B4-BE49-F238E27FC236}">
                <a16:creationId xmlns:a16="http://schemas.microsoft.com/office/drawing/2014/main" id="{B90C2B39-BA55-5622-82FF-8A08CA092A49}"/>
              </a:ext>
            </a:extLst>
          </xdr:cNvPr>
          <xdr:cNvGraphicFramePr>
            <a:graphicFrameLocks/>
          </xdr:cNvGraphicFramePr>
        </xdr:nvGraphicFramePr>
        <xdr:xfrm>
          <a:off x="4075467" y="2327601"/>
          <a:ext cx="8572500" cy="40081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8F9DEF27-A976-0EB5-B567-61523957138C}"/>
              </a:ext>
            </a:extLst>
          </xdr:cNvPr>
          <xdr:cNvGrpSpPr/>
        </xdr:nvGrpSpPr>
        <xdr:grpSpPr>
          <a:xfrm>
            <a:off x="7192855" y="2400566"/>
            <a:ext cx="2809076" cy="398506"/>
            <a:chOff x="6518680" y="94576"/>
            <a:chExt cx="2884252" cy="388997"/>
          </a:xfrm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3" name="Retângulo: Cantos Arredondados 22">
              <a:extLst>
                <a:ext uri="{FF2B5EF4-FFF2-40B4-BE49-F238E27FC236}">
                  <a16:creationId xmlns:a16="http://schemas.microsoft.com/office/drawing/2014/main" id="{C30D34E5-B573-9928-F815-ABC45AA35443}"/>
                </a:ext>
              </a:extLst>
            </xdr:cNvPr>
            <xdr:cNvSpPr/>
          </xdr:nvSpPr>
          <xdr:spPr>
            <a:xfrm>
              <a:off x="6518680" y="94576"/>
              <a:ext cx="2884252" cy="388997"/>
            </a:xfrm>
            <a:prstGeom prst="roundRect">
              <a:avLst/>
            </a:prstGeom>
            <a:solidFill>
              <a:schemeClr val="bg2">
                <a:lumMod val="1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" name="CaixaDeTexto 23">
              <a:extLst>
                <a:ext uri="{FF2B5EF4-FFF2-40B4-BE49-F238E27FC236}">
                  <a16:creationId xmlns:a16="http://schemas.microsoft.com/office/drawing/2014/main" id="{C9FF54C9-6DCE-ACBA-8CAB-6CFBB6EFFBC8}"/>
                </a:ext>
              </a:extLst>
            </xdr:cNvPr>
            <xdr:cNvSpPr txBox="1"/>
          </xdr:nvSpPr>
          <xdr:spPr>
            <a:xfrm>
              <a:off x="6835245" y="129230"/>
              <a:ext cx="2343083" cy="28956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2000" b="1">
                  <a:solidFill>
                    <a:schemeClr val="bg1"/>
                  </a:solidFill>
                </a:rPr>
                <a:t>Lucro</a:t>
              </a:r>
              <a:r>
                <a:rPr lang="pt-BR" sz="2000" b="1" baseline="0">
                  <a:solidFill>
                    <a:schemeClr val="bg1"/>
                  </a:solidFill>
                </a:rPr>
                <a:t> | Meta (2020 - 2023)</a:t>
              </a:r>
              <a:endParaRPr lang="pt-BR" sz="20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4</xdr:col>
      <xdr:colOff>320887</xdr:colOff>
      <xdr:row>0</xdr:row>
      <xdr:rowOff>135467</xdr:rowOff>
    </xdr:from>
    <xdr:to>
      <xdr:col>6</xdr:col>
      <xdr:colOff>354753</xdr:colOff>
      <xdr:row>5</xdr:row>
      <xdr:rowOff>76201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70DE69E8-8544-4FC2-BDCE-FE9DCC934DC2}"/>
            </a:ext>
          </a:extLst>
        </xdr:cNvPr>
        <xdr:cNvGrpSpPr/>
      </xdr:nvGrpSpPr>
      <xdr:grpSpPr>
        <a:xfrm>
          <a:off x="2759287" y="135467"/>
          <a:ext cx="1253066" cy="855134"/>
          <a:chOff x="164419" y="55039"/>
          <a:chExt cx="1303867" cy="1236647"/>
        </a:xfrm>
      </xdr:grpSpPr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48CF32FE-3916-987B-65C8-A524F26EEE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 flipH="1">
            <a:off x="494811" y="55039"/>
            <a:ext cx="656321" cy="788809"/>
          </a:xfrm>
          <a:prstGeom prst="rect">
            <a:avLst/>
          </a:prstGeom>
        </xdr:spPr>
      </xdr:pic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B55358C3-E4A0-CB94-6BC5-663E1CEA4F14}"/>
              </a:ext>
            </a:extLst>
          </xdr:cNvPr>
          <xdr:cNvSpPr txBox="1"/>
        </xdr:nvSpPr>
        <xdr:spPr>
          <a:xfrm>
            <a:off x="164419" y="842951"/>
            <a:ext cx="1303867" cy="4487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000" b="1">
                <a:solidFill>
                  <a:schemeClr val="bg1"/>
                </a:solidFill>
              </a:rPr>
              <a:t>ÉGIDE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426720</xdr:colOff>
      <xdr:row>0</xdr:row>
      <xdr:rowOff>114300</xdr:rowOff>
    </xdr:from>
    <xdr:to>
      <xdr:col>2</xdr:col>
      <xdr:colOff>223520</xdr:colOff>
      <xdr:row>2</xdr:row>
      <xdr:rowOff>129540</xdr:rowOff>
    </xdr:to>
    <xdr:sp macro="[0]!telacheia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87A1AC19-F0C5-4A2C-A5D7-5C8EA88DE8D4}"/>
            </a:ext>
          </a:extLst>
        </xdr:cNvPr>
        <xdr:cNvSpPr/>
      </xdr:nvSpPr>
      <xdr:spPr>
        <a:xfrm>
          <a:off x="426720" y="114300"/>
          <a:ext cx="1016000" cy="381000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Tela cheia</a:t>
          </a:r>
        </a:p>
      </xdr:txBody>
    </xdr:sp>
    <xdr:clientData/>
  </xdr:twoCellAnchor>
  <xdr:twoCellAnchor>
    <xdr:from>
      <xdr:col>0</xdr:col>
      <xdr:colOff>435185</xdr:colOff>
      <xdr:row>3</xdr:row>
      <xdr:rowOff>65193</xdr:rowOff>
    </xdr:from>
    <xdr:to>
      <xdr:col>2</xdr:col>
      <xdr:colOff>231185</xdr:colOff>
      <xdr:row>5</xdr:row>
      <xdr:rowOff>80433</xdr:rowOff>
    </xdr:to>
    <xdr:sp macro="[0]!telapadrao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44BFCDEB-9216-427F-8138-2AEB959EEE93}"/>
            </a:ext>
          </a:extLst>
        </xdr:cNvPr>
        <xdr:cNvSpPr/>
      </xdr:nvSpPr>
      <xdr:spPr>
        <a:xfrm>
          <a:off x="435185" y="613833"/>
          <a:ext cx="1015200" cy="381000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Tela</a:t>
          </a:r>
          <a:r>
            <a:rPr lang="pt-BR" sz="1100" b="1" baseline="0"/>
            <a:t> padrão</a:t>
          </a:r>
          <a:endParaRPr lang="pt-BR" sz="11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185.765734606481" createdVersion="8" refreshedVersion="8" minRefreshableVersion="3" recordCount="48" xr:uid="{5E8BE338-C54C-4C98-952A-6FD97BC7C14E}">
  <cacheSource type="worksheet">
    <worksheetSource name="Egide_Lucro"/>
  </cacheSource>
  <cacheFields count="6">
    <cacheField name="Empresa" numFmtId="0">
      <sharedItems count="1">
        <s v="Égide"/>
      </sharedItems>
    </cacheField>
    <cacheField name="Ano" numFmtId="0">
      <sharedItems containsSemiMixedTypes="0" containsString="0" containsNumber="1" containsInteger="1" minValue="2020" maxValue="2023" count="4">
        <n v="2020"/>
        <n v="2021"/>
        <n v="2022"/>
        <n v="2023"/>
      </sharedItems>
    </cacheField>
    <cacheField name="Número do Mês" numFmtId="1">
      <sharedItems containsSemiMixedTypes="0" containsString="0" containsNumber="1" containsInteger="1" minValue="1" maxValue="12"/>
    </cacheField>
    <cacheField name="Nome do Mês" numFmtId="0">
      <sharedItems count="12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</sharedItems>
    </cacheField>
    <cacheField name="Lucro" numFmtId="164">
      <sharedItems containsSemiMixedTypes="0" containsString="0" containsNumber="1" containsInteger="1" minValue="1243723" maxValue="9882783"/>
    </cacheField>
    <cacheField name="Meta" numFmtId="164">
      <sharedItems containsSemiMixedTypes="0" containsString="0" containsNumber="1" containsInteger="1" minValue="1693262" maxValue="9829676"/>
    </cacheField>
  </cacheFields>
  <extLst>
    <ext xmlns:x14="http://schemas.microsoft.com/office/spreadsheetml/2009/9/main" uri="{725AE2AE-9491-48be-B2B4-4EB974FC3084}">
      <x14:pivotCacheDefinition pivotCacheId="49164691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x v="0"/>
    <n v="1"/>
    <x v="0"/>
    <n v="6698015"/>
    <n v="2832345"/>
  </r>
  <r>
    <x v="0"/>
    <x v="0"/>
    <n v="2"/>
    <x v="1"/>
    <n v="5507420"/>
    <n v="3479325"/>
  </r>
  <r>
    <x v="0"/>
    <x v="0"/>
    <n v="3"/>
    <x v="2"/>
    <n v="8571423"/>
    <n v="9142263"/>
  </r>
  <r>
    <x v="0"/>
    <x v="0"/>
    <n v="4"/>
    <x v="3"/>
    <n v="3576068"/>
    <n v="5959846"/>
  </r>
  <r>
    <x v="0"/>
    <x v="0"/>
    <n v="5"/>
    <x v="4"/>
    <n v="6533986"/>
    <n v="8116170"/>
  </r>
  <r>
    <x v="0"/>
    <x v="0"/>
    <n v="6"/>
    <x v="5"/>
    <n v="2505274"/>
    <n v="7349111"/>
  </r>
  <r>
    <x v="0"/>
    <x v="0"/>
    <n v="7"/>
    <x v="6"/>
    <n v="9213092"/>
    <n v="8321648"/>
  </r>
  <r>
    <x v="0"/>
    <x v="0"/>
    <n v="8"/>
    <x v="7"/>
    <n v="9882783"/>
    <n v="6157262"/>
  </r>
  <r>
    <x v="0"/>
    <x v="0"/>
    <n v="9"/>
    <x v="8"/>
    <n v="4460819"/>
    <n v="5612787"/>
  </r>
  <r>
    <x v="0"/>
    <x v="0"/>
    <n v="10"/>
    <x v="9"/>
    <n v="8520495"/>
    <n v="8951785"/>
  </r>
  <r>
    <x v="0"/>
    <x v="0"/>
    <n v="11"/>
    <x v="10"/>
    <n v="8631772"/>
    <n v="5685141"/>
  </r>
  <r>
    <x v="0"/>
    <x v="0"/>
    <n v="12"/>
    <x v="11"/>
    <n v="8872156"/>
    <n v="8952983"/>
  </r>
  <r>
    <x v="0"/>
    <x v="1"/>
    <n v="1"/>
    <x v="0"/>
    <n v="1349843"/>
    <n v="9553290"/>
  </r>
  <r>
    <x v="0"/>
    <x v="1"/>
    <n v="2"/>
    <x v="1"/>
    <n v="3538172"/>
    <n v="5662300"/>
  </r>
  <r>
    <x v="0"/>
    <x v="1"/>
    <n v="3"/>
    <x v="2"/>
    <n v="2618213"/>
    <n v="9339084"/>
  </r>
  <r>
    <x v="0"/>
    <x v="1"/>
    <n v="4"/>
    <x v="3"/>
    <n v="7936659"/>
    <n v="9779186"/>
  </r>
  <r>
    <x v="0"/>
    <x v="1"/>
    <n v="5"/>
    <x v="4"/>
    <n v="4013766"/>
    <n v="2825589"/>
  </r>
  <r>
    <x v="0"/>
    <x v="1"/>
    <n v="6"/>
    <x v="5"/>
    <n v="5035095"/>
    <n v="8716226"/>
  </r>
  <r>
    <x v="0"/>
    <x v="1"/>
    <n v="7"/>
    <x v="6"/>
    <n v="7251468"/>
    <n v="7771528"/>
  </r>
  <r>
    <x v="0"/>
    <x v="1"/>
    <n v="8"/>
    <x v="7"/>
    <n v="8661104"/>
    <n v="4486841"/>
  </r>
  <r>
    <x v="0"/>
    <x v="1"/>
    <n v="9"/>
    <x v="8"/>
    <n v="2293203"/>
    <n v="2877935"/>
  </r>
  <r>
    <x v="0"/>
    <x v="1"/>
    <n v="10"/>
    <x v="9"/>
    <n v="4336316"/>
    <n v="9065925"/>
  </r>
  <r>
    <x v="0"/>
    <x v="1"/>
    <n v="11"/>
    <x v="10"/>
    <n v="3027494"/>
    <n v="6143872"/>
  </r>
  <r>
    <x v="0"/>
    <x v="1"/>
    <n v="12"/>
    <x v="11"/>
    <n v="3766192"/>
    <n v="3708404"/>
  </r>
  <r>
    <x v="0"/>
    <x v="2"/>
    <n v="1"/>
    <x v="0"/>
    <n v="6355296"/>
    <n v="3353096"/>
  </r>
  <r>
    <x v="0"/>
    <x v="2"/>
    <n v="2"/>
    <x v="1"/>
    <n v="1454821"/>
    <n v="2730908"/>
  </r>
  <r>
    <x v="0"/>
    <x v="2"/>
    <n v="3"/>
    <x v="2"/>
    <n v="9478735"/>
    <n v="4536507"/>
  </r>
  <r>
    <x v="0"/>
    <x v="2"/>
    <n v="4"/>
    <x v="3"/>
    <n v="5084187"/>
    <n v="9093537"/>
  </r>
  <r>
    <x v="0"/>
    <x v="2"/>
    <n v="5"/>
    <x v="4"/>
    <n v="8591283"/>
    <n v="7476586"/>
  </r>
  <r>
    <x v="0"/>
    <x v="2"/>
    <n v="6"/>
    <x v="5"/>
    <n v="1243723"/>
    <n v="9280797"/>
  </r>
  <r>
    <x v="0"/>
    <x v="2"/>
    <n v="7"/>
    <x v="6"/>
    <n v="9478496"/>
    <n v="6394108"/>
  </r>
  <r>
    <x v="0"/>
    <x v="2"/>
    <n v="8"/>
    <x v="7"/>
    <n v="5036422"/>
    <n v="2209220"/>
  </r>
  <r>
    <x v="0"/>
    <x v="2"/>
    <n v="9"/>
    <x v="8"/>
    <n v="8633184"/>
    <n v="8126475"/>
  </r>
  <r>
    <x v="0"/>
    <x v="2"/>
    <n v="10"/>
    <x v="9"/>
    <n v="6747331"/>
    <n v="8436103"/>
  </r>
  <r>
    <x v="0"/>
    <x v="2"/>
    <n v="11"/>
    <x v="10"/>
    <n v="6277223"/>
    <n v="2048009"/>
  </r>
  <r>
    <x v="0"/>
    <x v="2"/>
    <n v="12"/>
    <x v="11"/>
    <n v="6022649"/>
    <n v="1846430"/>
  </r>
  <r>
    <x v="0"/>
    <x v="3"/>
    <n v="1"/>
    <x v="0"/>
    <n v="8825560"/>
    <n v="7093496"/>
  </r>
  <r>
    <x v="0"/>
    <x v="3"/>
    <n v="2"/>
    <x v="1"/>
    <n v="6483093"/>
    <n v="9692626"/>
  </r>
  <r>
    <x v="0"/>
    <x v="3"/>
    <n v="3"/>
    <x v="2"/>
    <n v="5891415"/>
    <n v="1693262"/>
  </r>
  <r>
    <x v="0"/>
    <x v="3"/>
    <n v="4"/>
    <x v="3"/>
    <n v="4666957"/>
    <n v="7543686"/>
  </r>
  <r>
    <x v="0"/>
    <x v="3"/>
    <n v="5"/>
    <x v="4"/>
    <n v="6735869"/>
    <n v="9829676"/>
  </r>
  <r>
    <x v="0"/>
    <x v="3"/>
    <n v="6"/>
    <x v="5"/>
    <n v="6645442"/>
    <n v="3097512"/>
  </r>
  <r>
    <x v="0"/>
    <x v="3"/>
    <n v="7"/>
    <x v="6"/>
    <n v="9045151"/>
    <n v="4182291"/>
  </r>
  <r>
    <x v="0"/>
    <x v="3"/>
    <n v="8"/>
    <x v="7"/>
    <n v="6015664"/>
    <n v="9005268"/>
  </r>
  <r>
    <x v="0"/>
    <x v="3"/>
    <n v="9"/>
    <x v="8"/>
    <n v="2369461"/>
    <n v="9440679"/>
  </r>
  <r>
    <x v="0"/>
    <x v="3"/>
    <n v="10"/>
    <x v="9"/>
    <n v="7237781"/>
    <n v="7716028"/>
  </r>
  <r>
    <x v="0"/>
    <x v="3"/>
    <n v="11"/>
    <x v="10"/>
    <n v="2086501"/>
    <n v="7593103"/>
  </r>
  <r>
    <x v="0"/>
    <x v="3"/>
    <n v="12"/>
    <x v="11"/>
    <n v="4756927"/>
    <n v="41069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6CAF36-E5CA-4178-9217-0BA239446FE7}" name="tabela_egide_lucro" cacheId="15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21" rowHeaderCaption="Meses">
  <location ref="A3:C15" firstHeaderRow="0" firstDataRow="1" firstDataCol="1" rowPageCount="1" colPageCount="1"/>
  <pivotFields count="6">
    <pivotField showAll="0" defaultSubtotal="0">
      <items count="1">
        <item x="0"/>
      </items>
    </pivotField>
    <pivotField axis="axisPage" multipleItemSelectionAllowed="1" showAll="0" defaultSubtotal="0">
      <items count="4">
        <item x="0"/>
        <item x="1"/>
        <item x="2"/>
        <item x="3"/>
      </items>
    </pivotField>
    <pivotField numFmtId="1" showAll="0" defaultSubtotal="0"/>
    <pivotField axis="axisRow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numFmtId="164" showAll="0" defaultSubtotal="0"/>
    <pivotField dataField="1" numFmtId="164" showAll="0" defaultSubtotal="0"/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Lucro da Empresa" fld="4" baseField="0" baseItem="0"/>
    <dataField name="Meta da Empresa" fld="5" baseField="0" baseItem="0"/>
  </dataFields>
  <formats count="23">
    <format dxfId="367">
      <pivotArea type="all" dataOnly="0" outline="0" fieldPosition="0"/>
    </format>
    <format dxfId="366">
      <pivotArea outline="0" collapsedLevelsAreSubtotals="1" fieldPosition="0"/>
    </format>
    <format dxfId="365">
      <pivotArea field="0" type="button" dataOnly="0" labelOnly="1" outline="0"/>
    </format>
    <format dxfId="364">
      <pivotArea dataOnly="0" labelOnly="1" grandRow="1" outline="0" fieldPosition="0"/>
    </format>
    <format dxfId="36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62">
      <pivotArea type="all" dataOnly="0" outline="0" fieldPosition="0"/>
    </format>
    <format dxfId="361">
      <pivotArea outline="0" collapsedLevelsAreSubtotals="1" fieldPosition="0"/>
    </format>
    <format dxfId="360">
      <pivotArea field="0" type="button" dataOnly="0" labelOnly="1" outline="0"/>
    </format>
    <format dxfId="359">
      <pivotArea dataOnly="0" labelOnly="1" grandRow="1" outline="0" fieldPosition="0"/>
    </format>
    <format dxfId="35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57">
      <pivotArea type="all" dataOnly="0" outline="0" fieldPosition="0"/>
    </format>
    <format dxfId="356">
      <pivotArea outline="0" collapsedLevelsAreSubtotals="1" fieldPosition="0"/>
    </format>
    <format dxfId="355">
      <pivotArea field="0" type="button" dataOnly="0" labelOnly="1" outline="0"/>
    </format>
    <format dxfId="35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53">
      <pivotArea outline="0" collapsedLevelsAreSubtotals="1" fieldPosition="0"/>
    </format>
    <format dxfId="352">
      <pivotArea field="1" type="button" dataOnly="0" labelOnly="1" outline="0" axis="axisPage" fieldPosition="0"/>
    </format>
    <format dxfId="351">
      <pivotArea outline="0" collapsedLevelsAreSubtotals="1" fieldPosition="0"/>
    </format>
    <format dxfId="350">
      <pivotArea dataOnly="0" labelOnly="1" fieldPosition="0">
        <references count="1">
          <reference field="3" count="0"/>
        </references>
      </pivotArea>
    </format>
    <format dxfId="349">
      <pivotArea field="3" type="button" dataOnly="0" labelOnly="1" outline="0" axis="axisRow" fieldPosition="0"/>
    </format>
    <format dxfId="3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47">
      <pivotArea dataOnly="0" labelOnly="1" outline="0" fieldPosition="0">
        <references count="1">
          <reference field="1" count="0"/>
        </references>
      </pivotArea>
    </format>
    <format dxfId="346">
      <pivotArea field="3" type="button" dataOnly="0" labelOnly="1" outline="0" axis="axisRow" fieldPosition="0"/>
    </format>
    <format dxfId="34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7">
    <chartFormat chart="2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9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0" format="20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0" format="2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20" format="22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20" format="23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20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AB3EFD2A-1C56-4485-A04D-346A841E87CC}" sourceName="Ano">
  <pivotTables>
    <pivotTable tabId="2" name="tabela_egide_lucro"/>
  </pivotTables>
  <data>
    <tabular pivotCacheId="491646915">
      <items count="4">
        <i x="0" s="1"/>
        <i x="1" s="1"/>
        <i x="2" s="1"/>
        <i x="3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Nome_do_Mês" xr10:uid="{EE5C52A9-57CB-45BD-8EE2-12FA4BABB5DE}" sourceName="Nome do Mês">
  <pivotTables>
    <pivotTable tabId="2" name="tabela_egide_lucro"/>
  </pivotTables>
  <data>
    <tabular pivotCacheId="491646915">
      <items count="1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1" xr10:uid="{63402117-DC79-4B2D-BA00-F023AD8F0798}" cache="SegmentaçãodeDados_Ano" caption="Ano" style="Modelo Personalizado" rowHeight="360000"/>
  <slicer name="Nome do Mês 1" xr10:uid="{7D9B6843-59D4-4025-98E8-E226691414E7}" cache="SegmentaçãodeDados_Nome_do_Mês" caption="Mês" style="Modelo Personalizado" rowHeight="360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84CC44-6A20-40CE-9AA1-A92F751896AE}" name="Egide_Lucro" displayName="Egide_Lucro" ref="A1:F49" totalsRowShown="0" headerRowDxfId="377" headerRowBorderDxfId="376" tableBorderDxfId="375" totalsRowBorderDxfId="374">
  <autoFilter ref="A1:F49" xr:uid="{20944165-AAC3-44AF-A26E-E77138641F36}"/>
  <tableColumns count="6">
    <tableColumn id="1" xr3:uid="{DB618624-9468-48C2-8594-D29BCD3B7C8C}" name="Empresa" dataDxfId="373"/>
    <tableColumn id="2" xr3:uid="{D3B5B82C-6569-4A42-A2EE-613F55116761}" name="Ano" dataDxfId="372"/>
    <tableColumn id="6" xr3:uid="{789335E3-CAB2-46AE-9C04-CFA089A2072B}" name="Número do Mês" dataDxfId="371"/>
    <tableColumn id="3" xr3:uid="{4CD966A2-C06B-4344-99F5-172AFE75B8EE}" name="Nome do Mês" dataDxfId="370"/>
    <tableColumn id="4" xr3:uid="{C7FEC396-FC5A-4891-80AA-FCA0AF811408}" name="Lucro" dataDxfId="369" dataCellStyle="Vírgula">
      <calculatedColumnFormula>RANDBETWEEN(1000000,10000000)</calculatedColumnFormula>
    </tableColumn>
    <tableColumn id="5" xr3:uid="{1870BE97-4E27-45B3-8360-150908E56A0A}" name="Meta" dataDxfId="368" dataCellStyle="Vírgula">
      <calculatedColumnFormula>RANDBETWEEN(1000000,10000000)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44165-AAC3-44AF-A26E-E77138641F36}">
  <sheetPr codeName="Planilha1"/>
  <dimension ref="A1:F49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4.4" x14ac:dyDescent="0.3"/>
  <cols>
    <col min="1" max="1" width="16.44140625" style="1" bestFit="1" customWidth="1"/>
    <col min="2" max="2" width="10.6640625" style="1" bestFit="1" customWidth="1"/>
    <col min="3" max="3" width="26.33203125" style="1" bestFit="1" customWidth="1"/>
    <col min="4" max="4" width="23.5546875" style="1" bestFit="1" customWidth="1"/>
    <col min="5" max="5" width="15.5546875" style="1" bestFit="1" customWidth="1"/>
    <col min="6" max="6" width="18" style="1" customWidth="1"/>
    <col min="7" max="16384" width="8.88671875" style="1"/>
  </cols>
  <sheetData>
    <row r="1" spans="1:6" ht="36" customHeight="1" x14ac:dyDescent="0.3">
      <c r="A1" s="9" t="s">
        <v>0</v>
      </c>
      <c r="B1" s="10" t="s">
        <v>1</v>
      </c>
      <c r="C1" s="10" t="s">
        <v>16</v>
      </c>
      <c r="D1" s="10" t="s">
        <v>17</v>
      </c>
      <c r="E1" s="11" t="s">
        <v>2</v>
      </c>
      <c r="F1" s="12" t="s">
        <v>18</v>
      </c>
    </row>
    <row r="2" spans="1:6" x14ac:dyDescent="0.3">
      <c r="A2" s="4" t="s">
        <v>3</v>
      </c>
      <c r="B2" s="3">
        <v>2020</v>
      </c>
      <c r="C2" s="8">
        <v>1</v>
      </c>
      <c r="D2" s="2" t="s">
        <v>4</v>
      </c>
      <c r="E2" s="15">
        <f t="shared" ref="E2:E49" ca="1" si="0">RANDBETWEEN(1000000,10000000)</f>
        <v>9575907</v>
      </c>
      <c r="F2" s="16">
        <f t="shared" ref="F2:F49" ca="1" si="1">RANDBETWEEN(1000000,10000000)</f>
        <v>4326460</v>
      </c>
    </row>
    <row r="3" spans="1:6" x14ac:dyDescent="0.3">
      <c r="A3" s="4" t="s">
        <v>3</v>
      </c>
      <c r="B3" s="3">
        <v>2020</v>
      </c>
      <c r="C3" s="8">
        <v>2</v>
      </c>
      <c r="D3" s="2" t="s">
        <v>5</v>
      </c>
      <c r="E3" s="15">
        <f t="shared" ca="1" si="0"/>
        <v>7246558</v>
      </c>
      <c r="F3" s="16">
        <f t="shared" ca="1" si="1"/>
        <v>4827327</v>
      </c>
    </row>
    <row r="4" spans="1:6" x14ac:dyDescent="0.3">
      <c r="A4" s="4" t="s">
        <v>3</v>
      </c>
      <c r="B4" s="3">
        <v>2020</v>
      </c>
      <c r="C4" s="8">
        <v>3</v>
      </c>
      <c r="D4" s="2" t="s">
        <v>6</v>
      </c>
      <c r="E4" s="15">
        <f t="shared" ca="1" si="0"/>
        <v>2069970</v>
      </c>
      <c r="F4" s="16">
        <f t="shared" ca="1" si="1"/>
        <v>6932424</v>
      </c>
    </row>
    <row r="5" spans="1:6" x14ac:dyDescent="0.3">
      <c r="A5" s="4" t="s">
        <v>3</v>
      </c>
      <c r="B5" s="3">
        <v>2020</v>
      </c>
      <c r="C5" s="8">
        <v>4</v>
      </c>
      <c r="D5" s="2" t="s">
        <v>7</v>
      </c>
      <c r="E5" s="15">
        <f t="shared" ca="1" si="0"/>
        <v>4782694</v>
      </c>
      <c r="F5" s="16">
        <f t="shared" ca="1" si="1"/>
        <v>2557574</v>
      </c>
    </row>
    <row r="6" spans="1:6" x14ac:dyDescent="0.3">
      <c r="A6" s="4" t="s">
        <v>3</v>
      </c>
      <c r="B6" s="3">
        <v>2020</v>
      </c>
      <c r="C6" s="8">
        <v>5</v>
      </c>
      <c r="D6" s="2" t="s">
        <v>8</v>
      </c>
      <c r="E6" s="15">
        <f t="shared" ca="1" si="0"/>
        <v>2912358</v>
      </c>
      <c r="F6" s="16">
        <f t="shared" ca="1" si="1"/>
        <v>8411032</v>
      </c>
    </row>
    <row r="7" spans="1:6" x14ac:dyDescent="0.3">
      <c r="A7" s="4" t="s">
        <v>3</v>
      </c>
      <c r="B7" s="3">
        <v>2020</v>
      </c>
      <c r="C7" s="8">
        <v>6</v>
      </c>
      <c r="D7" s="2" t="s">
        <v>9</v>
      </c>
      <c r="E7" s="15">
        <f t="shared" ca="1" si="0"/>
        <v>4595853</v>
      </c>
      <c r="F7" s="16">
        <f t="shared" ca="1" si="1"/>
        <v>3132557</v>
      </c>
    </row>
    <row r="8" spans="1:6" x14ac:dyDescent="0.3">
      <c r="A8" s="4" t="s">
        <v>3</v>
      </c>
      <c r="B8" s="3">
        <v>2020</v>
      </c>
      <c r="C8" s="8">
        <v>7</v>
      </c>
      <c r="D8" s="2" t="s">
        <v>10</v>
      </c>
      <c r="E8" s="15">
        <f t="shared" ca="1" si="0"/>
        <v>6664313</v>
      </c>
      <c r="F8" s="16">
        <f t="shared" ca="1" si="1"/>
        <v>9315277</v>
      </c>
    </row>
    <row r="9" spans="1:6" x14ac:dyDescent="0.3">
      <c r="A9" s="4" t="s">
        <v>3</v>
      </c>
      <c r="B9" s="3">
        <v>2020</v>
      </c>
      <c r="C9" s="8">
        <v>8</v>
      </c>
      <c r="D9" s="2" t="s">
        <v>11</v>
      </c>
      <c r="E9" s="15">
        <f t="shared" ca="1" si="0"/>
        <v>5076496</v>
      </c>
      <c r="F9" s="16">
        <f t="shared" ca="1" si="1"/>
        <v>1276449</v>
      </c>
    </row>
    <row r="10" spans="1:6" x14ac:dyDescent="0.3">
      <c r="A10" s="4" t="s">
        <v>3</v>
      </c>
      <c r="B10" s="3">
        <v>2020</v>
      </c>
      <c r="C10" s="8">
        <v>9</v>
      </c>
      <c r="D10" s="2" t="s">
        <v>12</v>
      </c>
      <c r="E10" s="15">
        <f t="shared" ca="1" si="0"/>
        <v>9344104</v>
      </c>
      <c r="F10" s="16">
        <f t="shared" ca="1" si="1"/>
        <v>4066039</v>
      </c>
    </row>
    <row r="11" spans="1:6" x14ac:dyDescent="0.3">
      <c r="A11" s="4" t="s">
        <v>3</v>
      </c>
      <c r="B11" s="3">
        <v>2020</v>
      </c>
      <c r="C11" s="8">
        <v>10</v>
      </c>
      <c r="D11" s="2" t="s">
        <v>13</v>
      </c>
      <c r="E11" s="15">
        <f t="shared" ca="1" si="0"/>
        <v>2990903</v>
      </c>
      <c r="F11" s="16">
        <f t="shared" ca="1" si="1"/>
        <v>2579536</v>
      </c>
    </row>
    <row r="12" spans="1:6" x14ac:dyDescent="0.3">
      <c r="A12" s="4" t="s">
        <v>3</v>
      </c>
      <c r="B12" s="3">
        <v>2020</v>
      </c>
      <c r="C12" s="8">
        <v>11</v>
      </c>
      <c r="D12" s="2" t="s">
        <v>14</v>
      </c>
      <c r="E12" s="15">
        <f t="shared" ca="1" si="0"/>
        <v>1996590</v>
      </c>
      <c r="F12" s="16">
        <f t="shared" ca="1" si="1"/>
        <v>6061692</v>
      </c>
    </row>
    <row r="13" spans="1:6" x14ac:dyDescent="0.3">
      <c r="A13" s="5" t="s">
        <v>3</v>
      </c>
      <c r="B13" s="3">
        <v>2020</v>
      </c>
      <c r="C13" s="8">
        <v>12</v>
      </c>
      <c r="D13" s="7" t="s">
        <v>15</v>
      </c>
      <c r="E13" s="17">
        <f t="shared" ca="1" si="0"/>
        <v>2976964</v>
      </c>
      <c r="F13" s="16">
        <f t="shared" ca="1" si="1"/>
        <v>5528340</v>
      </c>
    </row>
    <row r="14" spans="1:6" x14ac:dyDescent="0.3">
      <c r="A14" s="5" t="s">
        <v>3</v>
      </c>
      <c r="B14" s="3">
        <v>2021</v>
      </c>
      <c r="C14" s="8">
        <v>1</v>
      </c>
      <c r="D14" s="2" t="s">
        <v>4</v>
      </c>
      <c r="E14" s="15">
        <f t="shared" ca="1" si="0"/>
        <v>2157489</v>
      </c>
      <c r="F14" s="16">
        <f t="shared" ca="1" si="1"/>
        <v>2879072</v>
      </c>
    </row>
    <row r="15" spans="1:6" x14ac:dyDescent="0.3">
      <c r="A15" s="5" t="s">
        <v>3</v>
      </c>
      <c r="B15" s="3">
        <v>2021</v>
      </c>
      <c r="C15" s="8">
        <v>2</v>
      </c>
      <c r="D15" s="2" t="s">
        <v>5</v>
      </c>
      <c r="E15" s="15">
        <f t="shared" ca="1" si="0"/>
        <v>9191179</v>
      </c>
      <c r="F15" s="16">
        <f t="shared" ca="1" si="1"/>
        <v>3116624</v>
      </c>
    </row>
    <row r="16" spans="1:6" x14ac:dyDescent="0.3">
      <c r="A16" s="5" t="s">
        <v>3</v>
      </c>
      <c r="B16" s="3">
        <v>2021</v>
      </c>
      <c r="C16" s="8">
        <v>3</v>
      </c>
      <c r="D16" s="2" t="s">
        <v>6</v>
      </c>
      <c r="E16" s="15">
        <f t="shared" ca="1" si="0"/>
        <v>3928573</v>
      </c>
      <c r="F16" s="16">
        <f t="shared" ca="1" si="1"/>
        <v>6773959</v>
      </c>
    </row>
    <row r="17" spans="1:6" x14ac:dyDescent="0.3">
      <c r="A17" s="5" t="s">
        <v>3</v>
      </c>
      <c r="B17" s="3">
        <v>2021</v>
      </c>
      <c r="C17" s="8">
        <v>4</v>
      </c>
      <c r="D17" s="2" t="s">
        <v>7</v>
      </c>
      <c r="E17" s="15">
        <f t="shared" ca="1" si="0"/>
        <v>9772010</v>
      </c>
      <c r="F17" s="16">
        <f t="shared" ca="1" si="1"/>
        <v>9106757</v>
      </c>
    </row>
    <row r="18" spans="1:6" x14ac:dyDescent="0.3">
      <c r="A18" s="5" t="s">
        <v>3</v>
      </c>
      <c r="B18" s="3">
        <v>2021</v>
      </c>
      <c r="C18" s="8">
        <v>5</v>
      </c>
      <c r="D18" s="2" t="s">
        <v>8</v>
      </c>
      <c r="E18" s="15">
        <f t="shared" ca="1" si="0"/>
        <v>3852167</v>
      </c>
      <c r="F18" s="16">
        <f t="shared" ca="1" si="1"/>
        <v>5207493</v>
      </c>
    </row>
    <row r="19" spans="1:6" x14ac:dyDescent="0.3">
      <c r="A19" s="5" t="s">
        <v>3</v>
      </c>
      <c r="B19" s="3">
        <v>2021</v>
      </c>
      <c r="C19" s="8">
        <v>6</v>
      </c>
      <c r="D19" s="2" t="s">
        <v>9</v>
      </c>
      <c r="E19" s="15">
        <f t="shared" ca="1" si="0"/>
        <v>6856741</v>
      </c>
      <c r="F19" s="16">
        <f t="shared" ca="1" si="1"/>
        <v>9081606</v>
      </c>
    </row>
    <row r="20" spans="1:6" x14ac:dyDescent="0.3">
      <c r="A20" s="5" t="s">
        <v>3</v>
      </c>
      <c r="B20" s="3">
        <v>2021</v>
      </c>
      <c r="C20" s="8">
        <v>7</v>
      </c>
      <c r="D20" s="2" t="s">
        <v>10</v>
      </c>
      <c r="E20" s="15">
        <f t="shared" ca="1" si="0"/>
        <v>6633615</v>
      </c>
      <c r="F20" s="16">
        <f t="shared" ca="1" si="1"/>
        <v>6816011</v>
      </c>
    </row>
    <row r="21" spans="1:6" x14ac:dyDescent="0.3">
      <c r="A21" s="5" t="s">
        <v>3</v>
      </c>
      <c r="B21" s="3">
        <v>2021</v>
      </c>
      <c r="C21" s="8">
        <v>8</v>
      </c>
      <c r="D21" s="2" t="s">
        <v>11</v>
      </c>
      <c r="E21" s="15">
        <f t="shared" ca="1" si="0"/>
        <v>5809828</v>
      </c>
      <c r="F21" s="16">
        <f t="shared" ca="1" si="1"/>
        <v>5944131</v>
      </c>
    </row>
    <row r="22" spans="1:6" x14ac:dyDescent="0.3">
      <c r="A22" s="5" t="s">
        <v>3</v>
      </c>
      <c r="B22" s="3">
        <v>2021</v>
      </c>
      <c r="C22" s="8">
        <v>9</v>
      </c>
      <c r="D22" s="2" t="s">
        <v>12</v>
      </c>
      <c r="E22" s="15">
        <f t="shared" ca="1" si="0"/>
        <v>8202299</v>
      </c>
      <c r="F22" s="16">
        <f t="shared" ca="1" si="1"/>
        <v>3477530</v>
      </c>
    </row>
    <row r="23" spans="1:6" x14ac:dyDescent="0.3">
      <c r="A23" s="5" t="s">
        <v>3</v>
      </c>
      <c r="B23" s="3">
        <v>2021</v>
      </c>
      <c r="C23" s="8">
        <v>10</v>
      </c>
      <c r="D23" s="2" t="s">
        <v>13</v>
      </c>
      <c r="E23" s="15">
        <f t="shared" ca="1" si="0"/>
        <v>3548005</v>
      </c>
      <c r="F23" s="16">
        <f t="shared" ca="1" si="1"/>
        <v>2610256</v>
      </c>
    </row>
    <row r="24" spans="1:6" x14ac:dyDescent="0.3">
      <c r="A24" s="5" t="s">
        <v>3</v>
      </c>
      <c r="B24" s="3">
        <v>2021</v>
      </c>
      <c r="C24" s="8">
        <v>11</v>
      </c>
      <c r="D24" s="2" t="s">
        <v>14</v>
      </c>
      <c r="E24" s="15">
        <f t="shared" ca="1" si="0"/>
        <v>6849002</v>
      </c>
      <c r="F24" s="16">
        <f t="shared" ca="1" si="1"/>
        <v>5269085</v>
      </c>
    </row>
    <row r="25" spans="1:6" x14ac:dyDescent="0.3">
      <c r="A25" s="5" t="s">
        <v>3</v>
      </c>
      <c r="B25" s="3">
        <v>2021</v>
      </c>
      <c r="C25" s="8">
        <v>12</v>
      </c>
      <c r="D25" s="7" t="s">
        <v>15</v>
      </c>
      <c r="E25" s="15">
        <f t="shared" ca="1" si="0"/>
        <v>5884423</v>
      </c>
      <c r="F25" s="16">
        <f t="shared" ca="1" si="1"/>
        <v>5355713</v>
      </c>
    </row>
    <row r="26" spans="1:6" x14ac:dyDescent="0.3">
      <c r="A26" s="5" t="s">
        <v>3</v>
      </c>
      <c r="B26" s="3">
        <v>2022</v>
      </c>
      <c r="C26" s="8">
        <v>1</v>
      </c>
      <c r="D26" s="2" t="s">
        <v>4</v>
      </c>
      <c r="E26" s="15">
        <f t="shared" ca="1" si="0"/>
        <v>2458950</v>
      </c>
      <c r="F26" s="16">
        <f t="shared" ca="1" si="1"/>
        <v>9221399</v>
      </c>
    </row>
    <row r="27" spans="1:6" x14ac:dyDescent="0.3">
      <c r="A27" s="5" t="s">
        <v>3</v>
      </c>
      <c r="B27" s="3">
        <v>2022</v>
      </c>
      <c r="C27" s="8">
        <v>2</v>
      </c>
      <c r="D27" s="2" t="s">
        <v>5</v>
      </c>
      <c r="E27" s="15">
        <f t="shared" ca="1" si="0"/>
        <v>2491256</v>
      </c>
      <c r="F27" s="16">
        <f t="shared" ca="1" si="1"/>
        <v>9628186</v>
      </c>
    </row>
    <row r="28" spans="1:6" x14ac:dyDescent="0.3">
      <c r="A28" s="5" t="s">
        <v>3</v>
      </c>
      <c r="B28" s="3">
        <v>2022</v>
      </c>
      <c r="C28" s="8">
        <v>3</v>
      </c>
      <c r="D28" s="2" t="s">
        <v>6</v>
      </c>
      <c r="E28" s="15">
        <f t="shared" ca="1" si="0"/>
        <v>2729109</v>
      </c>
      <c r="F28" s="16">
        <f t="shared" ca="1" si="1"/>
        <v>1572038</v>
      </c>
    </row>
    <row r="29" spans="1:6" x14ac:dyDescent="0.3">
      <c r="A29" s="5" t="s">
        <v>3</v>
      </c>
      <c r="B29" s="3">
        <v>2022</v>
      </c>
      <c r="C29" s="8">
        <v>4</v>
      </c>
      <c r="D29" s="2" t="s">
        <v>7</v>
      </c>
      <c r="E29" s="15">
        <f t="shared" ca="1" si="0"/>
        <v>3366270</v>
      </c>
      <c r="F29" s="16">
        <f t="shared" ca="1" si="1"/>
        <v>6312346</v>
      </c>
    </row>
    <row r="30" spans="1:6" x14ac:dyDescent="0.3">
      <c r="A30" s="5" t="s">
        <v>3</v>
      </c>
      <c r="B30" s="3">
        <v>2022</v>
      </c>
      <c r="C30" s="8">
        <v>5</v>
      </c>
      <c r="D30" s="2" t="s">
        <v>8</v>
      </c>
      <c r="E30" s="15">
        <f t="shared" ca="1" si="0"/>
        <v>3918609</v>
      </c>
      <c r="F30" s="16">
        <f t="shared" ca="1" si="1"/>
        <v>5451932</v>
      </c>
    </row>
    <row r="31" spans="1:6" x14ac:dyDescent="0.3">
      <c r="A31" s="5" t="s">
        <v>3</v>
      </c>
      <c r="B31" s="3">
        <v>2022</v>
      </c>
      <c r="C31" s="8">
        <v>6</v>
      </c>
      <c r="D31" s="2" t="s">
        <v>9</v>
      </c>
      <c r="E31" s="15">
        <f t="shared" ca="1" si="0"/>
        <v>8494062</v>
      </c>
      <c r="F31" s="16">
        <f t="shared" ca="1" si="1"/>
        <v>2713533</v>
      </c>
    </row>
    <row r="32" spans="1:6" x14ac:dyDescent="0.3">
      <c r="A32" s="5" t="s">
        <v>3</v>
      </c>
      <c r="B32" s="3">
        <v>2022</v>
      </c>
      <c r="C32" s="8">
        <v>7</v>
      </c>
      <c r="D32" s="2" t="s">
        <v>10</v>
      </c>
      <c r="E32" s="15">
        <f t="shared" ca="1" si="0"/>
        <v>5608042</v>
      </c>
      <c r="F32" s="16">
        <f t="shared" ca="1" si="1"/>
        <v>5660575</v>
      </c>
    </row>
    <row r="33" spans="1:6" x14ac:dyDescent="0.3">
      <c r="A33" s="5" t="s">
        <v>3</v>
      </c>
      <c r="B33" s="3">
        <v>2022</v>
      </c>
      <c r="C33" s="8">
        <v>8</v>
      </c>
      <c r="D33" s="2" t="s">
        <v>11</v>
      </c>
      <c r="E33" s="15">
        <f t="shared" ca="1" si="0"/>
        <v>2776478</v>
      </c>
      <c r="F33" s="16">
        <f t="shared" ca="1" si="1"/>
        <v>8018741</v>
      </c>
    </row>
    <row r="34" spans="1:6" x14ac:dyDescent="0.3">
      <c r="A34" s="5" t="s">
        <v>3</v>
      </c>
      <c r="B34" s="3">
        <v>2022</v>
      </c>
      <c r="C34" s="8">
        <v>9</v>
      </c>
      <c r="D34" s="2" t="s">
        <v>12</v>
      </c>
      <c r="E34" s="15">
        <f t="shared" ca="1" si="0"/>
        <v>6538644</v>
      </c>
      <c r="F34" s="16">
        <f t="shared" ca="1" si="1"/>
        <v>8363363</v>
      </c>
    </row>
    <row r="35" spans="1:6" x14ac:dyDescent="0.3">
      <c r="A35" s="5" t="s">
        <v>3</v>
      </c>
      <c r="B35" s="3">
        <v>2022</v>
      </c>
      <c r="C35" s="8">
        <v>10</v>
      </c>
      <c r="D35" s="2" t="s">
        <v>13</v>
      </c>
      <c r="E35" s="15">
        <f t="shared" ca="1" si="0"/>
        <v>7243785</v>
      </c>
      <c r="F35" s="16">
        <f t="shared" ca="1" si="1"/>
        <v>1410361</v>
      </c>
    </row>
    <row r="36" spans="1:6" x14ac:dyDescent="0.3">
      <c r="A36" s="5" t="s">
        <v>3</v>
      </c>
      <c r="B36" s="3">
        <v>2022</v>
      </c>
      <c r="C36" s="8">
        <v>11</v>
      </c>
      <c r="D36" s="2" t="s">
        <v>14</v>
      </c>
      <c r="E36" s="15">
        <f t="shared" ca="1" si="0"/>
        <v>5466547</v>
      </c>
      <c r="F36" s="16">
        <f t="shared" ca="1" si="1"/>
        <v>5835739</v>
      </c>
    </row>
    <row r="37" spans="1:6" x14ac:dyDescent="0.3">
      <c r="A37" s="5" t="s">
        <v>3</v>
      </c>
      <c r="B37" s="3">
        <v>2022</v>
      </c>
      <c r="C37" s="8">
        <v>12</v>
      </c>
      <c r="D37" s="7" t="s">
        <v>15</v>
      </c>
      <c r="E37" s="15">
        <f t="shared" ca="1" si="0"/>
        <v>6134064</v>
      </c>
      <c r="F37" s="16">
        <f t="shared" ca="1" si="1"/>
        <v>9621469</v>
      </c>
    </row>
    <row r="38" spans="1:6" x14ac:dyDescent="0.3">
      <c r="A38" s="5" t="s">
        <v>3</v>
      </c>
      <c r="B38" s="3">
        <v>2023</v>
      </c>
      <c r="C38" s="8">
        <v>1</v>
      </c>
      <c r="D38" s="2" t="s">
        <v>4</v>
      </c>
      <c r="E38" s="15">
        <f t="shared" ca="1" si="0"/>
        <v>5538532</v>
      </c>
      <c r="F38" s="16">
        <f t="shared" ca="1" si="1"/>
        <v>5131798</v>
      </c>
    </row>
    <row r="39" spans="1:6" x14ac:dyDescent="0.3">
      <c r="A39" s="5" t="s">
        <v>3</v>
      </c>
      <c r="B39" s="3">
        <v>2023</v>
      </c>
      <c r="C39" s="8">
        <v>2</v>
      </c>
      <c r="D39" s="2" t="s">
        <v>5</v>
      </c>
      <c r="E39" s="15">
        <f t="shared" ca="1" si="0"/>
        <v>2759507</v>
      </c>
      <c r="F39" s="16">
        <f t="shared" ca="1" si="1"/>
        <v>5653797</v>
      </c>
    </row>
    <row r="40" spans="1:6" x14ac:dyDescent="0.3">
      <c r="A40" s="5" t="s">
        <v>3</v>
      </c>
      <c r="B40" s="3">
        <v>2023</v>
      </c>
      <c r="C40" s="8">
        <v>3</v>
      </c>
      <c r="D40" s="2" t="s">
        <v>6</v>
      </c>
      <c r="E40" s="15">
        <f t="shared" ca="1" si="0"/>
        <v>8584485</v>
      </c>
      <c r="F40" s="16">
        <f t="shared" ca="1" si="1"/>
        <v>9142878</v>
      </c>
    </row>
    <row r="41" spans="1:6" x14ac:dyDescent="0.3">
      <c r="A41" s="5" t="s">
        <v>3</v>
      </c>
      <c r="B41" s="3">
        <v>2023</v>
      </c>
      <c r="C41" s="8">
        <v>4</v>
      </c>
      <c r="D41" s="2" t="s">
        <v>7</v>
      </c>
      <c r="E41" s="15">
        <f t="shared" ca="1" si="0"/>
        <v>1689964</v>
      </c>
      <c r="F41" s="16">
        <f t="shared" ca="1" si="1"/>
        <v>9701031</v>
      </c>
    </row>
    <row r="42" spans="1:6" x14ac:dyDescent="0.3">
      <c r="A42" s="5" t="s">
        <v>3</v>
      </c>
      <c r="B42" s="3">
        <v>2023</v>
      </c>
      <c r="C42" s="8">
        <v>5</v>
      </c>
      <c r="D42" s="2" t="s">
        <v>8</v>
      </c>
      <c r="E42" s="15">
        <f t="shared" ca="1" si="0"/>
        <v>5357177</v>
      </c>
      <c r="F42" s="16">
        <f t="shared" ca="1" si="1"/>
        <v>4431414</v>
      </c>
    </row>
    <row r="43" spans="1:6" x14ac:dyDescent="0.3">
      <c r="A43" s="5" t="s">
        <v>3</v>
      </c>
      <c r="B43" s="3">
        <v>2023</v>
      </c>
      <c r="C43" s="8">
        <v>6</v>
      </c>
      <c r="D43" s="2" t="s">
        <v>9</v>
      </c>
      <c r="E43" s="15">
        <f t="shared" ca="1" si="0"/>
        <v>3047698</v>
      </c>
      <c r="F43" s="16">
        <f t="shared" ca="1" si="1"/>
        <v>9088878</v>
      </c>
    </row>
    <row r="44" spans="1:6" x14ac:dyDescent="0.3">
      <c r="A44" s="5" t="s">
        <v>3</v>
      </c>
      <c r="B44" s="3">
        <v>2023</v>
      </c>
      <c r="C44" s="8">
        <v>7</v>
      </c>
      <c r="D44" s="2" t="s">
        <v>10</v>
      </c>
      <c r="E44" s="15">
        <f t="shared" ca="1" si="0"/>
        <v>7048544</v>
      </c>
      <c r="F44" s="16">
        <f t="shared" ca="1" si="1"/>
        <v>4774720</v>
      </c>
    </row>
    <row r="45" spans="1:6" x14ac:dyDescent="0.3">
      <c r="A45" s="5" t="s">
        <v>3</v>
      </c>
      <c r="B45" s="3">
        <v>2023</v>
      </c>
      <c r="C45" s="8">
        <v>8</v>
      </c>
      <c r="D45" s="2" t="s">
        <v>11</v>
      </c>
      <c r="E45" s="15">
        <f t="shared" ca="1" si="0"/>
        <v>4379632</v>
      </c>
      <c r="F45" s="16">
        <f t="shared" ca="1" si="1"/>
        <v>6126412</v>
      </c>
    </row>
    <row r="46" spans="1:6" x14ac:dyDescent="0.3">
      <c r="A46" s="5" t="s">
        <v>3</v>
      </c>
      <c r="B46" s="3">
        <v>2023</v>
      </c>
      <c r="C46" s="8">
        <v>9</v>
      </c>
      <c r="D46" s="2" t="s">
        <v>12</v>
      </c>
      <c r="E46" s="15">
        <f t="shared" ca="1" si="0"/>
        <v>7437477</v>
      </c>
      <c r="F46" s="16">
        <f t="shared" ca="1" si="1"/>
        <v>5352303</v>
      </c>
    </row>
    <row r="47" spans="1:6" x14ac:dyDescent="0.3">
      <c r="A47" s="5" t="s">
        <v>3</v>
      </c>
      <c r="B47" s="3">
        <v>2023</v>
      </c>
      <c r="C47" s="8">
        <v>10</v>
      </c>
      <c r="D47" s="2" t="s">
        <v>13</v>
      </c>
      <c r="E47" s="15">
        <f t="shared" ca="1" si="0"/>
        <v>6932277</v>
      </c>
      <c r="F47" s="16">
        <f t="shared" ca="1" si="1"/>
        <v>7610255</v>
      </c>
    </row>
    <row r="48" spans="1:6" x14ac:dyDescent="0.3">
      <c r="A48" s="5" t="s">
        <v>3</v>
      </c>
      <c r="B48" s="3">
        <v>2023</v>
      </c>
      <c r="C48" s="8">
        <v>11</v>
      </c>
      <c r="D48" s="2" t="s">
        <v>14</v>
      </c>
      <c r="E48" s="15">
        <f t="shared" ca="1" si="0"/>
        <v>8721166</v>
      </c>
      <c r="F48" s="16">
        <f t="shared" ca="1" si="1"/>
        <v>8915147</v>
      </c>
    </row>
    <row r="49" spans="1:6" x14ac:dyDescent="0.3">
      <c r="A49" s="5" t="s">
        <v>3</v>
      </c>
      <c r="B49" s="6">
        <v>2023</v>
      </c>
      <c r="C49" s="8">
        <v>12</v>
      </c>
      <c r="D49" s="7" t="s">
        <v>15</v>
      </c>
      <c r="E49" s="15">
        <f t="shared" ca="1" si="0"/>
        <v>8261984</v>
      </c>
      <c r="F49" s="16">
        <f t="shared" ca="1" si="1"/>
        <v>3890131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B8940-78D7-4431-8A42-4FECC2A83017}">
  <sheetPr codeName="Planilha2"/>
  <dimension ref="A1:E1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10.77734375" style="1" bestFit="1" customWidth="1"/>
    <col min="2" max="3" width="16.5546875" style="1" bestFit="1" customWidth="1"/>
    <col min="4" max="4" width="8.88671875" style="1"/>
    <col min="5" max="5" width="17.6640625" style="1" bestFit="1" customWidth="1"/>
    <col min="6" max="6" width="17.6640625" style="1" customWidth="1"/>
    <col min="7" max="7" width="17.6640625" style="1" bestFit="1" customWidth="1"/>
    <col min="8" max="8" width="8.88671875" style="1"/>
    <col min="9" max="9" width="8.21875" style="1" bestFit="1" customWidth="1"/>
    <col min="10" max="16384" width="8.88671875" style="1"/>
  </cols>
  <sheetData>
    <row r="1" spans="1:5" ht="30" customHeight="1" x14ac:dyDescent="0.3">
      <c r="A1" s="18" t="s">
        <v>1</v>
      </c>
      <c r="B1" s="23" t="s">
        <v>19</v>
      </c>
    </row>
    <row r="3" spans="1:5" ht="27" customHeight="1" x14ac:dyDescent="0.3">
      <c r="A3" s="24" t="s">
        <v>22</v>
      </c>
      <c r="B3" s="24" t="s">
        <v>20</v>
      </c>
      <c r="C3" s="24" t="s">
        <v>21</v>
      </c>
    </row>
    <row r="4" spans="1:5" x14ac:dyDescent="0.3">
      <c r="A4" s="2" t="s">
        <v>4</v>
      </c>
      <c r="B4" s="21">
        <v>23228714</v>
      </c>
      <c r="C4" s="21">
        <v>22832227</v>
      </c>
      <c r="E4" s="19" t="s">
        <v>2</v>
      </c>
    </row>
    <row r="5" spans="1:5" x14ac:dyDescent="0.3">
      <c r="A5" s="2" t="s">
        <v>5</v>
      </c>
      <c r="B5" s="21">
        <v>16983506</v>
      </c>
      <c r="C5" s="21">
        <v>21565159</v>
      </c>
      <c r="E5" s="22">
        <f>SUM(B4:B15)</f>
        <v>281963999</v>
      </c>
    </row>
    <row r="6" spans="1:5" x14ac:dyDescent="0.3">
      <c r="A6" s="2" t="s">
        <v>6</v>
      </c>
      <c r="B6" s="21">
        <v>26559786</v>
      </c>
      <c r="C6" s="21">
        <v>24711116</v>
      </c>
    </row>
    <row r="7" spans="1:5" x14ac:dyDescent="0.3">
      <c r="A7" s="2" t="s">
        <v>7</v>
      </c>
      <c r="B7" s="21">
        <v>21263871</v>
      </c>
      <c r="C7" s="21">
        <v>32376255</v>
      </c>
    </row>
    <row r="8" spans="1:5" x14ac:dyDescent="0.3">
      <c r="A8" s="2" t="s">
        <v>8</v>
      </c>
      <c r="B8" s="21">
        <v>25874904</v>
      </c>
      <c r="C8" s="21">
        <v>28248021</v>
      </c>
      <c r="E8" s="19" t="s">
        <v>18</v>
      </c>
    </row>
    <row r="9" spans="1:5" x14ac:dyDescent="0.3">
      <c r="A9" s="2" t="s">
        <v>9</v>
      </c>
      <c r="B9" s="21">
        <v>15429534</v>
      </c>
      <c r="C9" s="21">
        <v>28443646</v>
      </c>
      <c r="E9" s="22">
        <f>SUM(C4:C15)</f>
        <v>307017182</v>
      </c>
    </row>
    <row r="10" spans="1:5" x14ac:dyDescent="0.3">
      <c r="A10" s="2" t="s">
        <v>10</v>
      </c>
      <c r="B10" s="21">
        <v>34988207</v>
      </c>
      <c r="C10" s="21">
        <v>26669575</v>
      </c>
    </row>
    <row r="11" spans="1:5" x14ac:dyDescent="0.3">
      <c r="A11" s="2" t="s">
        <v>11</v>
      </c>
      <c r="B11" s="21">
        <v>29595973</v>
      </c>
      <c r="C11" s="21">
        <v>21858591</v>
      </c>
    </row>
    <row r="12" spans="1:5" x14ac:dyDescent="0.3">
      <c r="A12" s="2" t="s">
        <v>12</v>
      </c>
      <c r="B12" s="21">
        <v>17756667</v>
      </c>
      <c r="C12" s="21">
        <v>26057876</v>
      </c>
      <c r="E12" s="20" t="s">
        <v>23</v>
      </c>
    </row>
    <row r="13" spans="1:5" x14ac:dyDescent="0.3">
      <c r="A13" s="2" t="s">
        <v>13</v>
      </c>
      <c r="B13" s="21">
        <v>26841923</v>
      </c>
      <c r="C13" s="21">
        <v>34169841</v>
      </c>
      <c r="E13" s="14" t="str">
        <f>IF(E5&gt;=E9,"Atingimos a meta!","Não atingimos a meta!")</f>
        <v>Não atingimos a meta!</v>
      </c>
    </row>
    <row r="14" spans="1:5" x14ac:dyDescent="0.3">
      <c r="A14" s="2" t="s">
        <v>14</v>
      </c>
      <c r="B14" s="21">
        <v>20022990</v>
      </c>
      <c r="C14" s="21">
        <v>21470125</v>
      </c>
    </row>
    <row r="15" spans="1:5" x14ac:dyDescent="0.3">
      <c r="A15" s="2" t="s">
        <v>15</v>
      </c>
      <c r="B15" s="21">
        <v>23417924</v>
      </c>
      <c r="C15" s="21">
        <v>18614750</v>
      </c>
    </row>
    <row r="16" spans="1:5" x14ac:dyDescent="0.3">
      <c r="A16"/>
      <c r="B16"/>
      <c r="C16"/>
    </row>
    <row r="17" spans="1:3" x14ac:dyDescent="0.3">
      <c r="A17"/>
      <c r="B17"/>
      <c r="C17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16E32-5D7F-4740-AA5A-10363D2B1426}">
  <sheetPr codeName="Planilha4"/>
  <dimension ref="A1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4.4" x14ac:dyDescent="0.3"/>
  <cols>
    <col min="1" max="16384" width="8.88671875" style="13"/>
  </cols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Égide - Analytics</vt:lpstr>
      <vt:lpstr>Tabela Dinâmica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Silva</dc:creator>
  <cp:lastModifiedBy>Gustavo Silva</cp:lastModifiedBy>
  <dcterms:created xsi:type="dcterms:W3CDTF">2023-09-15T00:24:02Z</dcterms:created>
  <dcterms:modified xsi:type="dcterms:W3CDTF">2023-09-16T21:23:38Z</dcterms:modified>
</cp:coreProperties>
</file>